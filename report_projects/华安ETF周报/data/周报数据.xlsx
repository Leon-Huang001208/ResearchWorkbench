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leon/Desktop/Projects/AlphaFoundry/report_projects/华安ETF周报/data/"/>
    </mc:Choice>
  </mc:AlternateContent>
  <xr:revisionPtr revIDLastSave="0" documentId="13_ncr:1_{8F80C23A-A025-A549-B893-C252303244AF}" xr6:coauthVersionLast="47" xr6:coauthVersionMax="47" xr10:uidLastSave="{00000000-0000-0000-0000-000000000000}"/>
  <bookViews>
    <workbookView xWindow="0" yWindow="880" windowWidth="36000" windowHeight="22500" activeTab="4" xr2:uid="{00000000-000D-0000-FFFF-FFFF00000000}"/>
  </bookViews>
  <sheets>
    <sheet name="日期" sheetId="4" r:id="rId1"/>
    <sheet name="国内" sheetId="2" r:id="rId2"/>
    <sheet name="市场成交" sheetId="6" r:id="rId3"/>
    <sheet name="海外" sheetId="5" r:id="rId4"/>
    <sheet name="黄金" sheetId="1" r:id="rId5"/>
    <sheet name="石油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3" i="1"/>
  <c r="C7" i="5"/>
  <c r="B4" i="5"/>
  <c r="B13" i="5"/>
  <c r="B2" i="2"/>
  <c r="D2" i="1"/>
  <c r="B11" i="5"/>
  <c r="C11" i="5"/>
  <c r="B9" i="5"/>
  <c r="C3" i="5"/>
  <c r="C3" i="1"/>
  <c r="B6" i="5"/>
  <c r="D3" i="3"/>
  <c r="B5" i="2"/>
  <c r="C2" i="1"/>
  <c r="B3" i="5"/>
  <c r="C6" i="5"/>
  <c r="C3" i="3"/>
  <c r="B5" i="5"/>
  <c r="B3" i="2"/>
  <c r="B2" i="1"/>
  <c r="B7" i="5"/>
  <c r="C2" i="5"/>
  <c r="C9" i="5"/>
  <c r="C5" i="2"/>
  <c r="B8" i="5"/>
  <c r="C5" i="5"/>
  <c r="C2" i="2"/>
  <c r="C3" i="2"/>
  <c r="B3" i="3"/>
  <c r="B6" i="2"/>
  <c r="B2" i="3"/>
  <c r="C10" i="5"/>
  <c r="C2" i="3"/>
  <c r="C12" i="5"/>
  <c r="C13" i="5"/>
  <c r="B10" i="5"/>
  <c r="B2" i="6"/>
  <c r="C4" i="2"/>
  <c r="D2" i="3"/>
  <c r="C8" i="5"/>
  <c r="B12" i="5"/>
  <c r="B2" i="5"/>
  <c r="C6" i="2"/>
  <c r="B4" i="2"/>
  <c r="D3" i="1"/>
  <c r="C4" i="5"/>
  <c r="B2" i="4" l="1"/>
  <c r="E2" i="3"/>
  <c r="C2" i="6"/>
  <c r="E3" i="3"/>
  <c r="F2" i="3" l="1"/>
  <c r="F3" i="3"/>
</calcChain>
</file>

<file path=xl/sharedStrings.xml><?xml version="1.0" encoding="utf-8"?>
<sst xmlns="http://schemas.openxmlformats.org/spreadsheetml/2006/main" count="43" uniqueCount="41">
  <si>
    <t>指数代码</t>
    <phoneticPr fontId="4" type="noConversion"/>
  </si>
  <si>
    <t>000300.SH</t>
    <phoneticPr fontId="4" type="noConversion"/>
  </si>
  <si>
    <t>399673.SZ</t>
    <phoneticPr fontId="4" type="noConversion"/>
  </si>
  <si>
    <t>000688.SH</t>
    <phoneticPr fontId="4" type="noConversion"/>
  </si>
  <si>
    <t>000905.SH</t>
    <phoneticPr fontId="4" type="noConversion"/>
  </si>
  <si>
    <t>000852.SH</t>
    <phoneticPr fontId="4" type="noConversion"/>
  </si>
  <si>
    <t>000985.CSI</t>
    <phoneticPr fontId="4" type="noConversion"/>
  </si>
  <si>
    <t>代码</t>
    <phoneticPr fontId="2" type="noConversion"/>
  </si>
  <si>
    <t>简称</t>
    <phoneticPr fontId="2" type="noConversion"/>
  </si>
  <si>
    <t>周涨跌幅</t>
    <phoneticPr fontId="2" type="noConversion"/>
  </si>
  <si>
    <t>代码</t>
    <phoneticPr fontId="2" type="noConversion"/>
  </si>
  <si>
    <t>周收盘价</t>
    <phoneticPr fontId="2" type="noConversion"/>
  </si>
  <si>
    <t>周收盘价</t>
    <phoneticPr fontId="2" type="noConversion"/>
  </si>
  <si>
    <t>上周收盘价</t>
    <phoneticPr fontId="2" type="noConversion"/>
  </si>
  <si>
    <t>涨跌</t>
    <phoneticPr fontId="2" type="noConversion"/>
  </si>
  <si>
    <t>DJI.GI</t>
    <phoneticPr fontId="4" type="noConversion"/>
  </si>
  <si>
    <t>HSI.HI</t>
    <phoneticPr fontId="2" type="noConversion"/>
  </si>
  <si>
    <t>HSTECH.HI</t>
    <phoneticPr fontId="4" type="noConversion"/>
  </si>
  <si>
    <t>HSSCSOY.HI</t>
    <phoneticPr fontId="4" type="noConversion"/>
  </si>
  <si>
    <t>NDX.GI</t>
    <phoneticPr fontId="4" type="noConversion"/>
  </si>
  <si>
    <t>SPX.GI</t>
    <phoneticPr fontId="4" type="noConversion"/>
  </si>
  <si>
    <t>GDAXI.GI</t>
    <phoneticPr fontId="4" type="noConversion"/>
  </si>
  <si>
    <t>FCHI.GI</t>
    <phoneticPr fontId="4" type="noConversion"/>
  </si>
  <si>
    <t>FTSE.GI</t>
    <phoneticPr fontId="4" type="noConversion"/>
  </si>
  <si>
    <t>N225.GI</t>
    <phoneticPr fontId="4" type="noConversion"/>
  </si>
  <si>
    <t>KS11.GI</t>
    <phoneticPr fontId="4" type="noConversion"/>
  </si>
  <si>
    <t>SENSEX.BO</t>
    <phoneticPr fontId="4" type="noConversion"/>
  </si>
  <si>
    <t>AU9999.SGE</t>
    <phoneticPr fontId="2" type="noConversion"/>
  </si>
  <si>
    <t>SPTAUUSDOZ.IDC</t>
    <phoneticPr fontId="2" type="noConversion"/>
  </si>
  <si>
    <t>上周五</t>
    <phoneticPr fontId="2" type="noConversion"/>
  </si>
  <si>
    <t>本周五</t>
    <phoneticPr fontId="2" type="noConversion"/>
  </si>
  <si>
    <t>周内涨跌幅</t>
    <phoneticPr fontId="4" type="noConversion"/>
  </si>
  <si>
    <t>指数名称</t>
    <phoneticPr fontId="4" type="noConversion"/>
  </si>
  <si>
    <t>指数名称</t>
    <phoneticPr fontId="4" type="noConversion"/>
  </si>
  <si>
    <t>周涨跌幅</t>
    <phoneticPr fontId="2" type="noConversion"/>
  </si>
  <si>
    <t>周内涨跌幅</t>
    <phoneticPr fontId="4" type="noConversion"/>
  </si>
  <si>
    <t>CL.NYM</t>
  </si>
  <si>
    <t>B.IPE</t>
  </si>
  <si>
    <t>指数代码</t>
    <phoneticPr fontId="2" type="noConversion"/>
  </si>
  <si>
    <t>本周日均成交额</t>
    <phoneticPr fontId="2" type="noConversion"/>
  </si>
  <si>
    <t>上周日均成交额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</si>
</sst>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###,##0"/>
    <numFmt numFmtId="165" formatCode="###,###,##0.0000"/>
    <numFmt numFmtId="166" formatCode="#,##0.00_ "/>
    <numFmt numFmtId="167" formatCode="###,###,##0.00"/>
    <numFmt numFmtId="168" formatCode="###,###,##0.000"/>
    <numFmt numFmtId="169" formatCode="0.000"/>
  </numFmts>
  <fonts count="6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 Light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2"/>
    <xf numFmtId="0" fontId="5" fillId="0" borderId="0" xfId="2" applyFont="1"/>
    <xf numFmtId="164" fontId="3" fillId="0" borderId="0" xfId="2" applyNumberFormat="1"/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165" fontId="0" fillId="0" borderId="0" xfId="0" applyNumberFormat="1">
      <alignment vertical="center"/>
    </xf>
    <xf numFmtId="165" fontId="3" fillId="0" borderId="0" xfId="2" applyNumberFormat="1" applyAlignment="1">
      <alignment horizontal="right"/>
    </xf>
    <xf numFmtId="166" fontId="0" fillId="5" borderId="0" xfId="0" applyNumberFormat="1" applyFill="1">
      <alignment vertical="center"/>
    </xf>
    <xf numFmtId="2" fontId="0" fillId="3" borderId="0" xfId="1" applyNumberFormat="1" applyFont="1" applyFill="1" applyAlignment="1"/>
    <xf numFmtId="167" fontId="0" fillId="2" borderId="0" xfId="0" applyNumberFormat="1" applyFill="1">
      <alignment vertical="center"/>
    </xf>
    <xf numFmtId="167" fontId="0" fillId="3" borderId="0" xfId="0" applyNumberFormat="1" applyFill="1">
      <alignment vertical="center"/>
    </xf>
    <xf numFmtId="167" fontId="0" fillId="4" borderId="0" xfId="0" applyNumberFormat="1" applyFill="1">
      <alignment vertical="center"/>
    </xf>
    <xf numFmtId="2" fontId="0" fillId="2" borderId="0" xfId="1" applyNumberFormat="1" applyFont="1" applyFill="1" applyAlignment="1"/>
    <xf numFmtId="168" fontId="3" fillId="2" borderId="0" xfId="2" applyNumberFormat="1" applyFill="1"/>
    <xf numFmtId="169" fontId="0" fillId="3" borderId="0" xfId="0" applyNumberFormat="1" applyFill="1">
      <alignment vertical="center"/>
    </xf>
  </cellXfs>
  <cellStyles count="4">
    <cellStyle name="Normal" xfId="0" builtinId="0"/>
    <cellStyle name="Percent" xfId="1" builtinId="5"/>
    <cellStyle name="常规 2" xfId="2" xr:uid="{00000000-0005-0000-0000-000003000000}"/>
    <cellStyle name="百分比 2" xfId="3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s_info_name"/>
      <definedName name="s_wq_amount"/>
      <definedName name="s_wq_close"/>
      <definedName name="s_wq_pctchang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baseColWidth="10" defaultColWidth="8.83203125" defaultRowHeight="15" x14ac:dyDescent="0.2"/>
  <cols>
    <col min="1" max="2" width="10.5" bestFit="1" customWidth="1"/>
  </cols>
  <sheetData>
    <row r="1" spans="1:2" x14ac:dyDescent="0.2">
      <c r="A1" t="s">
        <v>30</v>
      </c>
      <c r="B1" t="s">
        <v>29</v>
      </c>
    </row>
    <row r="2" spans="1:2" x14ac:dyDescent="0.2">
      <c r="A2" s="4">
        <f ca="1">TODAY()</f>
        <v>46215</v>
      </c>
      <c r="B2" s="4">
        <f ca="1">$A$2-7</f>
        <v>46208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D4" sqref="D4"/>
    </sheetView>
  </sheetViews>
  <sheetFormatPr baseColWidth="10" defaultColWidth="9" defaultRowHeight="15" x14ac:dyDescent="0.2"/>
  <cols>
    <col min="1" max="1" width="10" style="1" bestFit="1" customWidth="1"/>
    <col min="2" max="2" width="9.1640625" style="1" bestFit="1" customWidth="1"/>
    <col min="3" max="3" width="11" style="1" bestFit="1" customWidth="1"/>
    <col min="4" max="4" width="9" style="1" bestFit="1" customWidth="1"/>
    <col min="5" max="5" width="12.5" style="1" bestFit="1" customWidth="1"/>
    <col min="6" max="6" width="10.1640625" style="1" customWidth="1"/>
    <col min="7" max="16384" width="9" style="1"/>
  </cols>
  <sheetData>
    <row r="1" spans="1:3" x14ac:dyDescent="0.2">
      <c r="A1" s="1" t="s">
        <v>0</v>
      </c>
      <c r="B1" s="1" t="s">
        <v>32</v>
      </c>
      <c r="C1" s="1" t="s">
        <v>31</v>
      </c>
    </row>
    <row r="2" spans="1:3" x14ac:dyDescent="0.2">
      <c r="A2" s="2" t="s">
        <v>1</v>
      </c>
      <c r="B2" s="1" t="str">
        <f>[1]!s_info_name($A2)</f>
        <v>沪深300</v>
      </c>
      <c r="C2" s="14">
        <f ca="1">[1]!s_wq_pctchange($A2,日期!$A$2)</f>
        <v>-1.2677570819072601</v>
      </c>
    </row>
    <row r="3" spans="1:3" x14ac:dyDescent="0.2">
      <c r="A3" s="2" t="s">
        <v>4</v>
      </c>
      <c r="B3" s="1" t="str">
        <f>[1]!s_info_name($A3)</f>
        <v>中证500</v>
      </c>
      <c r="C3" s="14">
        <f ca="1">[1]!s_wq_pctchange($A3,日期!$A$2)</f>
        <v>-2.7590967070884602</v>
      </c>
    </row>
    <row r="4" spans="1:3" x14ac:dyDescent="0.2">
      <c r="A4" s="2" t="s">
        <v>5</v>
      </c>
      <c r="B4" s="1" t="str">
        <f>[1]!s_info_name($A4)</f>
        <v>中证1000</v>
      </c>
      <c r="C4" s="14">
        <f ca="1">[1]!s_wq_pctchange($A4,日期!$A$2)</f>
        <v>-4.90072103148428</v>
      </c>
    </row>
    <row r="5" spans="1:3" x14ac:dyDescent="0.2">
      <c r="A5" s="2" t="s">
        <v>2</v>
      </c>
      <c r="B5" s="1" t="str">
        <f>[1]!s_info_name($A5)</f>
        <v>创业板50</v>
      </c>
      <c r="C5" s="14">
        <f ca="1">[1]!s_wq_pctchange($A5,日期!$A$2)</f>
        <v>-4.4742478853369096</v>
      </c>
    </row>
    <row r="6" spans="1:3" x14ac:dyDescent="0.2">
      <c r="A6" s="2" t="s">
        <v>3</v>
      </c>
      <c r="B6" s="1" t="str">
        <f>[1]!s_info_name($A6)</f>
        <v>科创50</v>
      </c>
      <c r="C6" s="14">
        <f ca="1">[1]!s_wq_pctchange($A6,日期!$A$2)</f>
        <v>4.5239671733161098</v>
      </c>
    </row>
    <row r="29" spans="5:5" x14ac:dyDescent="0.2">
      <c r="E29" s="8"/>
    </row>
    <row r="30" spans="5:5" x14ac:dyDescent="0.2">
      <c r="E3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0.5" bestFit="1" customWidth="1"/>
    <col min="2" max="3" width="15.1640625" bestFit="1" customWidth="1"/>
  </cols>
  <sheetData>
    <row r="1" spans="1:3" x14ac:dyDescent="0.2">
      <c r="A1" s="1" t="s">
        <v>38</v>
      </c>
      <c r="B1" s="1" t="s">
        <v>39</v>
      </c>
      <c r="C1" t="s">
        <v>40</v>
      </c>
    </row>
    <row r="2" spans="1:3" x14ac:dyDescent="0.2">
      <c r="A2" s="1" t="s">
        <v>6</v>
      </c>
      <c r="B2" s="15">
        <f ca="1">[1]!s_wq_amount($A$2,日期!$A$2,1000000000000)/5</f>
        <v>2.8363826228686002</v>
      </c>
      <c r="C2" s="16">
        <f ca="1">[1]!s_wq_amount($A$2,日期!$B$2,1000000000000)/5</f>
        <v>3.3470180538744003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selection activeCell="C2" sqref="C2"/>
    </sheetView>
  </sheetViews>
  <sheetFormatPr baseColWidth="10" defaultColWidth="9" defaultRowHeight="15" x14ac:dyDescent="0.2"/>
  <cols>
    <col min="1" max="1" width="11" style="1" bestFit="1" customWidth="1"/>
    <col min="2" max="2" width="23.5" style="1" bestFit="1" customWidth="1"/>
    <col min="3" max="3" width="11" style="1" bestFit="1" customWidth="1"/>
    <col min="4" max="4" width="9" style="1" bestFit="1" customWidth="1"/>
    <col min="5" max="5" width="12.5" style="1" bestFit="1" customWidth="1"/>
    <col min="6" max="6" width="10.1640625" style="1" customWidth="1"/>
    <col min="7" max="16384" width="9" style="1"/>
  </cols>
  <sheetData>
    <row r="1" spans="1:3" x14ac:dyDescent="0.2">
      <c r="A1" s="1" t="s">
        <v>0</v>
      </c>
      <c r="B1" s="1" t="s">
        <v>33</v>
      </c>
      <c r="C1" s="1" t="s">
        <v>35</v>
      </c>
    </row>
    <row r="2" spans="1:3" x14ac:dyDescent="0.2">
      <c r="A2" s="1" t="s">
        <v>16</v>
      </c>
      <c r="B2" s="1" t="str">
        <f>[1]!s_info_name($A2)</f>
        <v>恒生指数</v>
      </c>
      <c r="C2" s="10">
        <f ca="1">[1]!s_wq_pctchange($A2,日期!$A$2)</f>
        <v>3.5335714772101001</v>
      </c>
    </row>
    <row r="3" spans="1:3" x14ac:dyDescent="0.2">
      <c r="A3" s="2" t="s">
        <v>17</v>
      </c>
      <c r="B3" s="1" t="str">
        <f>[1]!s_info_name($A3)</f>
        <v>恒生科技</v>
      </c>
      <c r="C3" s="10">
        <f ca="1">[1]!s_wq_pctchange($A3,日期!$A$2)</f>
        <v>4.9490997999555502</v>
      </c>
    </row>
    <row r="4" spans="1:3" x14ac:dyDescent="0.2">
      <c r="A4" s="2" t="s">
        <v>18</v>
      </c>
      <c r="B4" s="1" t="str">
        <f>[1]!s_info_name($A4)</f>
        <v>恒生港股通中国央企红利</v>
      </c>
      <c r="C4" s="10">
        <f ca="1">[1]!s_wq_pctchange($A4,日期!$A$2)</f>
        <v>0.77926196044235696</v>
      </c>
    </row>
    <row r="5" spans="1:3" x14ac:dyDescent="0.2">
      <c r="A5" s="2" t="s">
        <v>19</v>
      </c>
      <c r="B5" s="1" t="str">
        <f>[1]!s_info_name($A5)</f>
        <v>纳斯达克100</v>
      </c>
      <c r="C5" s="10">
        <f ca="1">[1]!s_wq_pctchange($A5,日期!$A$2)</f>
        <v>1.69080585532309</v>
      </c>
    </row>
    <row r="6" spans="1:3" x14ac:dyDescent="0.2">
      <c r="A6" s="2" t="s">
        <v>20</v>
      </c>
      <c r="B6" s="1" t="str">
        <f>[1]!s_info_name($A6)</f>
        <v>标普500</v>
      </c>
      <c r="C6" s="10">
        <f ca="1">[1]!s_wq_pctchange($A6,日期!$A$2)</f>
        <v>1.2314184764888001</v>
      </c>
    </row>
    <row r="7" spans="1:3" x14ac:dyDescent="0.2">
      <c r="A7" s="2" t="s">
        <v>15</v>
      </c>
      <c r="B7" s="1" t="str">
        <f>[1]!s_info_name($A7)</f>
        <v>道琼斯工业平均</v>
      </c>
      <c r="C7" s="10">
        <f ca="1">[1]!s_wq_pctchange($A7,日期!$A$2)</f>
        <v>-0.49727722477493902</v>
      </c>
    </row>
    <row r="8" spans="1:3" x14ac:dyDescent="0.2">
      <c r="A8" s="2" t="s">
        <v>21</v>
      </c>
      <c r="B8" s="1" t="str">
        <f>[1]!s_info_name($A8)</f>
        <v>德国DAX</v>
      </c>
      <c r="C8" s="10">
        <f ca="1">[1]!s_wq_pctchange($A8,日期!$A$2)</f>
        <v>-2.7627581963985799</v>
      </c>
    </row>
    <row r="9" spans="1:3" x14ac:dyDescent="0.2">
      <c r="A9" s="2" t="s">
        <v>22</v>
      </c>
      <c r="B9" s="1" t="str">
        <f>[1]!s_info_name($A9)</f>
        <v>法国CAC40</v>
      </c>
      <c r="C9" s="10">
        <f ca="1">[1]!s_wq_pctchange($A9,日期!$A$2)</f>
        <v>-1.9875247852920801</v>
      </c>
    </row>
    <row r="10" spans="1:3" x14ac:dyDescent="0.2">
      <c r="A10" s="2" t="s">
        <v>23</v>
      </c>
      <c r="B10" s="1" t="str">
        <f>[1]!s_info_name($A10)</f>
        <v>英国富时100</v>
      </c>
      <c r="C10" s="10">
        <f ca="1">[1]!s_wq_pctchange($A10,日期!$A$2)</f>
        <v>-1.7018399611200701</v>
      </c>
    </row>
    <row r="11" spans="1:3" x14ac:dyDescent="0.2">
      <c r="A11" s="2" t="s">
        <v>24</v>
      </c>
      <c r="B11" s="1" t="str">
        <f>[1]!s_info_name($A11)</f>
        <v>日经225</v>
      </c>
      <c r="C11" s="10">
        <f ca="1">[1]!s_wq_pctchange($A11,日期!$A$2)</f>
        <v>-1.7009904928118</v>
      </c>
    </row>
    <row r="12" spans="1:3" x14ac:dyDescent="0.2">
      <c r="A12" s="2" t="s">
        <v>25</v>
      </c>
      <c r="B12" s="1" t="str">
        <f>[1]!s_info_name($A12)</f>
        <v>韩国综合指数</v>
      </c>
      <c r="C12" s="10">
        <f ca="1">[1]!s_wq_pctchange($A12,日期!$A$2)</f>
        <v>-7.5713928939683699</v>
      </c>
    </row>
    <row r="13" spans="1:3" x14ac:dyDescent="0.2">
      <c r="A13" s="2" t="s">
        <v>26</v>
      </c>
      <c r="B13" s="1" t="str">
        <f>[1]!s_info_name($A13)</f>
        <v>印度SENSEX30</v>
      </c>
      <c r="C13" s="10">
        <f ca="1">[1]!s_wq_pctchange($A13,日期!$A$2)</f>
        <v>-0.25014174312995002</v>
      </c>
    </row>
    <row r="29" spans="5:5" x14ac:dyDescent="0.2">
      <c r="E29" s="8"/>
    </row>
    <row r="30" spans="5:5" x14ac:dyDescent="0.2">
      <c r="E3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4" width="9" bestFit="1" customWidth="1"/>
    <col min="5" max="5" width="10.1640625" bestFit="1" customWidth="1"/>
  </cols>
  <sheetData>
    <row r="1" spans="1:4" x14ac:dyDescent="0.2">
      <c r="A1" t="s">
        <v>7</v>
      </c>
      <c r="B1" t="s">
        <v>8</v>
      </c>
      <c r="C1" t="s">
        <v>11</v>
      </c>
      <c r="D1" t="s">
        <v>34</v>
      </c>
    </row>
    <row r="2" spans="1:4" x14ac:dyDescent="0.2">
      <c r="A2" s="6" t="s">
        <v>28</v>
      </c>
      <c r="B2" s="7" t="str">
        <f>[1]!s_info_name($A2)</f>
        <v>伦敦金现</v>
      </c>
      <c r="C2" s="11">
        <f ca="1">[1]!s_wq_close($A2,日期!$A$2)</f>
        <v>4120.3450000000003</v>
      </c>
      <c r="D2" s="12">
        <f ca="1">[1]!s_wq_pctchange($A2,日期!$A$2)</f>
        <v>-1.28992721699952</v>
      </c>
    </row>
    <row r="3" spans="1:4" x14ac:dyDescent="0.2">
      <c r="A3" s="5" t="s">
        <v>27</v>
      </c>
      <c r="B3" t="str">
        <f>[1]!s_info_name($A3)</f>
        <v>SGE黄金9999</v>
      </c>
      <c r="C3" s="11">
        <f ca="1">[1]!s_wq_close($A3,日期!$A$2)</f>
        <v>897.25</v>
      </c>
      <c r="D3" s="12">
        <f ca="1">[1]!s_wq_pctchange($A3,日期!$A$2)</f>
        <v>-1.4249302366460901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7.83203125" bestFit="1" customWidth="1"/>
    <col min="2" max="2" width="15.6640625" bestFit="1" customWidth="1"/>
    <col min="3" max="3" width="9" bestFit="1" customWidth="1"/>
    <col min="5" max="5" width="11" bestFit="1" customWidth="1"/>
    <col min="6" max="6" width="6.33203125" bestFit="1" customWidth="1"/>
  </cols>
  <sheetData>
    <row r="1" spans="1:6" x14ac:dyDescent="0.2">
      <c r="A1" t="s">
        <v>10</v>
      </c>
      <c r="B1" t="s">
        <v>8</v>
      </c>
      <c r="C1" t="s">
        <v>9</v>
      </c>
      <c r="D1" t="s">
        <v>12</v>
      </c>
      <c r="E1" t="s">
        <v>13</v>
      </c>
      <c r="F1" t="s">
        <v>14</v>
      </c>
    </row>
    <row r="2" spans="1:6" x14ac:dyDescent="0.2">
      <c r="A2" t="s">
        <v>37</v>
      </c>
      <c r="B2" t="str">
        <f>[1]!s_info_name($A2)</f>
        <v>ICE布油</v>
      </c>
      <c r="C2" s="13">
        <f ca="1">[1]!s_wq_pctchange($A2,日期!$A$2)</f>
        <v>4.2983915696062098</v>
      </c>
      <c r="D2" s="12">
        <f ca="1">[1]!s_wq_close($A2,日期!$A$2,1)</f>
        <v>75.22</v>
      </c>
      <c r="E2" s="11">
        <f ca="1">[1]!s_wq_close($A2,日期!$B$2,1)</f>
        <v>71.94</v>
      </c>
      <c r="F2" s="9">
        <f ca="1">$D2-$E2</f>
        <v>3.2800000000000011</v>
      </c>
    </row>
    <row r="3" spans="1:6" x14ac:dyDescent="0.2">
      <c r="A3" t="s">
        <v>36</v>
      </c>
      <c r="B3" t="str">
        <f>[1]!s_info_name($A3)</f>
        <v>NYMEX WTI原油</v>
      </c>
      <c r="C3" s="13">
        <f ca="1">[1]!s_wq_pctchange($A3,日期!$A$2)</f>
        <v>4.1054010773038598</v>
      </c>
      <c r="D3" s="12">
        <f ca="1">[1]!s_wq_close($A3,日期!$A$2,1)</f>
        <v>71.510000000000005</v>
      </c>
      <c r="E3" s="11">
        <f ca="1">[1]!s_wq_close($A3,日期!$B$2,1)</f>
        <v>68.459999999999994</v>
      </c>
      <c r="F3" s="9">
        <f ca="1">D3-E3</f>
        <v>3.0500000000000114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日期</vt:lpstr>
      <vt:lpstr>国内</vt:lpstr>
      <vt:lpstr>市场成交</vt:lpstr>
      <vt:lpstr>海外</vt:lpstr>
      <vt:lpstr>黄金</vt:lpstr>
      <vt:lpstr>石油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黄泳嘉</dc:creator>
  <cp:lastModifiedBy>Yongjia Huang</cp:lastModifiedBy>
  <dcterms:created xsi:type="dcterms:W3CDTF">2026-01-12T06:01:53Z</dcterms:created>
  <dcterms:modified xsi:type="dcterms:W3CDTF">2026-07-12T08:31:43Z</dcterms:modified>
</cp:coreProperties>
</file>