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H01352\Desktop\华安基金\【7】创业板50\周报\"/>
    </mc:Choice>
  </mc:AlternateContent>
  <bookViews>
    <workbookView xWindow="-120" yWindow="-120" windowWidth="28920" windowHeight="12360"/>
  </bookViews>
  <sheets>
    <sheet name="基本信息" sheetId="1" r:id="rId1"/>
    <sheet name="成份股" sheetId="4" r:id="rId2"/>
    <sheet name="行业" sheetId="3" r:id="rId3"/>
    <sheet name="四个第一" sheetId="6" r:id="rId4"/>
    <sheet name="Sheet1" sheetId="7" r:id="rId5"/>
  </sheets>
  <externalReferences>
    <externalReference r:id="rId6"/>
    <externalReference r:id="rId7"/>
  </externalReferences>
  <definedNames>
    <definedName name="_xlnm._FilterDatabase" localSheetId="1" hidden="1">成份股!$I$12:$P$12</definedName>
    <definedName name="_xlnm._FilterDatabase" localSheetId="2" hidden="1">行业!$B$3:$G$3</definedName>
    <definedName name="_xlnm._FilterDatabase" localSheetId="3" hidden="1">四个第一!$I$12:$N$12</definedName>
  </definedNames>
  <calcPr calcId="162913"/>
  <pivotCaches>
    <pivotCache cacheId="0" r:id="rId8"/>
    <pivotCache cacheId="1" r:id="rId9"/>
    <pivotCache cacheId="2" r:id="rId10"/>
    <pivotCache cacheId="3" r:id="rId11"/>
    <pivotCache cacheId="4" r:id="rId12"/>
    <pivotCache cacheId="8" r:id="rId1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A1" i="1" l="1"/>
  <c r="A3" i="1" l="1"/>
  <c r="D9" i="4" l="1"/>
  <c r="D8" i="4"/>
  <c r="D12" i="4"/>
  <c r="D11" i="4"/>
  <c r="D10" i="4"/>
  <c r="I11" i="6"/>
  <c r="D10" i="1"/>
  <c r="D12" i="1"/>
  <c r="D11" i="1"/>
  <c r="D16" i="1"/>
  <c r="D13" i="1"/>
  <c r="E3" i="1"/>
  <c r="W11" i="6"/>
  <c r="D15" i="1"/>
  <c r="D14" i="1"/>
  <c r="D8" i="1"/>
  <c r="D9" i="1"/>
  <c r="I11" i="4"/>
  <c r="AC11" i="6"/>
  <c r="I3" i="1"/>
  <c r="AI11" i="6"/>
  <c r="AO11" i="6"/>
  <c r="F3" i="1" l="1"/>
  <c r="J1" i="1"/>
  <c r="B8" i="1"/>
  <c r="U17" i="6"/>
  <c r="U16" i="6"/>
  <c r="U14" i="6"/>
  <c r="U13" i="6"/>
  <c r="S17" i="6"/>
  <c r="S16" i="6"/>
  <c r="S15" i="6"/>
  <c r="S14" i="6"/>
  <c r="S13" i="6"/>
  <c r="T13" i="6"/>
  <c r="P37" i="4"/>
  <c r="P58" i="4"/>
  <c r="P42" i="4"/>
  <c r="P33" i="4"/>
  <c r="P47" i="4"/>
  <c r="P17" i="4"/>
  <c r="P21" i="4"/>
  <c r="P61" i="4"/>
  <c r="P26" i="4"/>
  <c r="P45" i="4"/>
  <c r="P14" i="4"/>
  <c r="E16" i="1"/>
  <c r="P41" i="4"/>
  <c r="P20" i="4"/>
  <c r="P62" i="4"/>
  <c r="P49" i="4"/>
  <c r="P27" i="4"/>
  <c r="P44" i="4"/>
  <c r="F9" i="1"/>
  <c r="P39" i="4"/>
  <c r="E12" i="1"/>
  <c r="E10" i="1"/>
  <c r="E8" i="1"/>
  <c r="P53" i="4"/>
  <c r="F12" i="1"/>
  <c r="P51" i="4"/>
  <c r="E15" i="1"/>
  <c r="P36" i="4"/>
  <c r="E14" i="1"/>
  <c r="P19" i="4"/>
  <c r="P48" i="4"/>
  <c r="F13" i="1"/>
  <c r="E13" i="1"/>
  <c r="F16" i="1"/>
  <c r="P40" i="4"/>
  <c r="E11" i="1"/>
  <c r="P30" i="4"/>
  <c r="F15" i="1"/>
  <c r="P18" i="4"/>
  <c r="P43" i="4"/>
  <c r="P22" i="4"/>
  <c r="F10" i="1"/>
  <c r="P34" i="4"/>
  <c r="P29" i="4"/>
  <c r="J3" i="1"/>
  <c r="P38" i="4"/>
  <c r="P52" i="4"/>
  <c r="P55" i="4"/>
  <c r="F8" i="1"/>
  <c r="P50" i="4"/>
  <c r="P24" i="4"/>
  <c r="P15" i="4"/>
  <c r="P59" i="4"/>
  <c r="P16" i="4"/>
  <c r="P32" i="4"/>
  <c r="P35" i="4"/>
  <c r="P23" i="4"/>
  <c r="P46" i="4"/>
  <c r="P31" i="4"/>
  <c r="F11" i="1"/>
  <c r="E9" i="1"/>
  <c r="P60" i="4"/>
  <c r="P25" i="4"/>
  <c r="P57" i="4"/>
  <c r="G3" i="1"/>
  <c r="P28" i="4"/>
  <c r="F14" i="1"/>
  <c r="P54" i="4"/>
  <c r="P56" i="4"/>
  <c r="P13" i="4"/>
  <c r="B9" i="1" l="1"/>
  <c r="D12" i="6"/>
  <c r="B12" i="6"/>
  <c r="T15" i="6"/>
  <c r="T17" i="6"/>
  <c r="T14" i="6"/>
  <c r="T16" i="6"/>
  <c r="C12" i="6"/>
  <c r="H14" i="1"/>
  <c r="H10" i="1"/>
  <c r="H13" i="1"/>
  <c r="H8" i="1"/>
  <c r="H11" i="1"/>
  <c r="H12" i="1"/>
  <c r="H15" i="1"/>
  <c r="H16" i="1"/>
  <c r="H9" i="1"/>
  <c r="B10" i="1" l="1"/>
  <c r="D11" i="6"/>
  <c r="B11" i="6"/>
  <c r="G16" i="1"/>
  <c r="G10" i="1"/>
  <c r="G11" i="1"/>
  <c r="G9" i="1"/>
  <c r="G12" i="1"/>
  <c r="G8" i="1"/>
  <c r="C11" i="6"/>
  <c r="G14" i="1"/>
  <c r="G15" i="1"/>
  <c r="G13" i="1"/>
  <c r="D10" i="6" l="1"/>
  <c r="B10" i="6"/>
  <c r="C10" i="6"/>
  <c r="D9" i="6" l="1"/>
  <c r="B9" i="6"/>
  <c r="C9" i="6"/>
  <c r="D8" i="6" l="1"/>
  <c r="B8" i="6"/>
  <c r="C8" i="6"/>
  <c r="D7" i="6" l="1"/>
  <c r="B7" i="6"/>
  <c r="C7" i="6"/>
  <c r="D6" i="6" l="1"/>
  <c r="B6" i="6"/>
  <c r="C6" i="6"/>
  <c r="D5" i="6" l="1"/>
  <c r="B5" i="6"/>
  <c r="C5" i="6"/>
  <c r="D4" i="6" l="1"/>
  <c r="B4" i="6"/>
  <c r="C4" i="6"/>
  <c r="D3" i="6" l="1"/>
  <c r="B3" i="6"/>
  <c r="B12" i="4" l="1"/>
  <c r="G12" i="4"/>
  <c r="C12" i="4"/>
  <c r="B11" i="4" l="1"/>
  <c r="C11" i="4"/>
  <c r="G11" i="4"/>
  <c r="B10" i="4" l="1"/>
  <c r="C10" i="4"/>
  <c r="G10" i="4"/>
  <c r="B9" i="4" l="1"/>
  <c r="G9" i="4"/>
  <c r="C9" i="4"/>
  <c r="B8" i="4" l="1"/>
  <c r="C8" i="4"/>
  <c r="G8" i="4"/>
  <c r="D7" i="4" l="1"/>
  <c r="B7" i="4"/>
  <c r="C7" i="4"/>
  <c r="D6" i="4" l="1"/>
  <c r="B6" i="4"/>
  <c r="C6" i="4"/>
  <c r="D5" i="4" l="1"/>
  <c r="B5" i="4"/>
  <c r="C5" i="4"/>
  <c r="D4" i="4" l="1"/>
  <c r="B4" i="4"/>
  <c r="C4" i="4"/>
  <c r="D3" i="4" l="1"/>
  <c r="B3" i="4"/>
  <c r="C3" i="4"/>
  <c r="G3" i="4"/>
  <c r="C24" i="3" l="1"/>
  <c r="C25" i="3"/>
  <c r="C11" i="3"/>
  <c r="C34" i="3"/>
  <c r="C17" i="3"/>
  <c r="C20" i="3"/>
  <c r="C15" i="3"/>
  <c r="C21" i="3"/>
  <c r="C19" i="3"/>
  <c r="C26" i="3"/>
  <c r="C33" i="3"/>
  <c r="C27" i="3"/>
  <c r="C28" i="3"/>
  <c r="C32" i="3"/>
  <c r="C29" i="3"/>
  <c r="C23" i="3"/>
  <c r="C16" i="3"/>
  <c r="C18" i="3"/>
  <c r="C30" i="3"/>
  <c r="C7" i="3"/>
  <c r="C9" i="3"/>
  <c r="C22" i="3"/>
  <c r="I12" i="3"/>
  <c r="C13" i="3" l="1"/>
  <c r="I11" i="3"/>
  <c r="C8" i="3" l="1"/>
  <c r="I10" i="3"/>
  <c r="G7" i="4"/>
  <c r="G5" i="4"/>
  <c r="G4" i="4"/>
  <c r="C3" i="6"/>
  <c r="G6" i="4"/>
  <c r="C31" i="3" l="1"/>
  <c r="I9" i="3"/>
  <c r="C10" i="3" l="1"/>
  <c r="I8" i="3"/>
  <c r="C14" i="3" l="1"/>
  <c r="I7" i="3"/>
  <c r="C6" i="3" l="1"/>
  <c r="I6" i="3"/>
  <c r="C12" i="3" l="1"/>
  <c r="I5" i="3"/>
  <c r="C4" i="3" l="1"/>
  <c r="I4" i="3"/>
  <c r="C5" i="3"/>
  <c r="I3" i="3"/>
  <c r="A1" i="6" l="1"/>
  <c r="A1" i="4"/>
  <c r="M60" i="4"/>
  <c r="E4" i="4"/>
  <c r="O16" i="4"/>
  <c r="N47" i="4"/>
  <c r="M43" i="4"/>
  <c r="E11" i="4"/>
  <c r="O49" i="4"/>
  <c r="N20" i="4"/>
  <c r="M21" i="4"/>
  <c r="M59" i="4"/>
  <c r="N50" i="4"/>
  <c r="M36" i="4"/>
  <c r="N36" i="4"/>
  <c r="O23" i="4"/>
  <c r="O62" i="4"/>
  <c r="M41" i="4"/>
  <c r="M16" i="4"/>
  <c r="M54" i="4"/>
  <c r="E5" i="4"/>
  <c r="N23" i="4"/>
  <c r="E12" i="4"/>
  <c r="O53" i="4"/>
  <c r="M58" i="4"/>
  <c r="N17" i="4"/>
  <c r="M18" i="4"/>
  <c r="M49" i="4"/>
  <c r="N43" i="4"/>
  <c r="N54" i="4"/>
  <c r="M51" i="4"/>
  <c r="O37" i="4"/>
  <c r="N15" i="4"/>
  <c r="M30" i="4"/>
  <c r="M27" i="4"/>
  <c r="E10" i="4"/>
  <c r="O54" i="4"/>
  <c r="O55" i="4"/>
  <c r="O14" i="4"/>
  <c r="O47" i="4"/>
  <c r="N25" i="4"/>
  <c r="O50" i="4"/>
  <c r="M42" i="4"/>
  <c r="O18" i="4"/>
  <c r="N21" i="4"/>
  <c r="M55" i="4"/>
  <c r="N40" i="4"/>
  <c r="O17" i="4"/>
  <c r="N14" i="4"/>
  <c r="O24" i="4"/>
  <c r="M26" i="4"/>
  <c r="N24" i="4"/>
  <c r="M20" i="4"/>
  <c r="O44" i="4"/>
  <c r="M29" i="4"/>
  <c r="M48" i="4"/>
  <c r="N34" i="4"/>
  <c r="N31" i="4"/>
  <c r="M19" i="4"/>
  <c r="M25" i="4"/>
  <c r="O31" i="4"/>
  <c r="O52" i="4"/>
  <c r="O26" i="4"/>
  <c r="M47" i="4"/>
  <c r="E8" i="4"/>
  <c r="N35" i="4"/>
  <c r="O33" i="4"/>
  <c r="O15" i="4"/>
  <c r="O57" i="4"/>
  <c r="O28" i="4"/>
  <c r="N13" i="4"/>
  <c r="M50" i="4"/>
  <c r="O25" i="4"/>
  <c r="N29" i="4"/>
  <c r="N41" i="4"/>
  <c r="M52" i="4"/>
  <c r="N51" i="4"/>
  <c r="M13" i="4"/>
  <c r="N59" i="4"/>
  <c r="M34" i="4"/>
  <c r="N55" i="4"/>
  <c r="E9" i="4"/>
  <c r="E3" i="4"/>
  <c r="M57" i="4"/>
  <c r="M39" i="4"/>
  <c r="N44" i="4"/>
  <c r="O35" i="4"/>
  <c r="N45" i="4"/>
  <c r="M35" i="4"/>
  <c r="N52" i="4"/>
  <c r="M32" i="4"/>
  <c r="N39" i="4"/>
  <c r="M38" i="4"/>
  <c r="O29" i="4"/>
  <c r="M37" i="4"/>
  <c r="O40" i="4"/>
  <c r="N28" i="4"/>
  <c r="O46" i="4"/>
  <c r="M53" i="4"/>
  <c r="M24" i="4"/>
  <c r="O61" i="4"/>
  <c r="O39" i="4"/>
  <c r="N49" i="4"/>
  <c r="M17" i="4"/>
  <c r="M31" i="4"/>
  <c r="O51" i="4"/>
  <c r="O41" i="4"/>
  <c r="M14" i="4"/>
  <c r="O43" i="4"/>
  <c r="N56" i="4"/>
  <c r="O59" i="4"/>
  <c r="N18" i="4"/>
  <c r="E6" i="4"/>
  <c r="O34" i="4"/>
  <c r="O48" i="4"/>
  <c r="M62" i="4"/>
  <c r="N42" i="4"/>
  <c r="N16" i="4"/>
  <c r="O58" i="4"/>
  <c r="M28" i="4"/>
  <c r="N58" i="4"/>
  <c r="O19" i="4"/>
  <c r="O56" i="4"/>
  <c r="M61" i="4"/>
  <c r="M33" i="4"/>
  <c r="N38" i="4"/>
  <c r="N26" i="4"/>
  <c r="N57" i="4"/>
  <c r="O30" i="4"/>
  <c r="M23" i="4"/>
  <c r="O27" i="4"/>
  <c r="O13" i="4"/>
  <c r="O60" i="4"/>
  <c r="N37" i="4"/>
  <c r="N61" i="4"/>
  <c r="M40" i="4"/>
  <c r="M46" i="4"/>
  <c r="O22" i="4"/>
  <c r="N32" i="4"/>
  <c r="N60" i="4"/>
  <c r="O36" i="4"/>
  <c r="O38" i="4"/>
  <c r="N19" i="4"/>
  <c r="N33" i="4"/>
  <c r="N27" i="4"/>
  <c r="N30" i="4"/>
  <c r="N53" i="4"/>
  <c r="M44" i="4"/>
  <c r="N22" i="4"/>
  <c r="M45" i="4"/>
  <c r="N48" i="4"/>
  <c r="M56" i="4"/>
  <c r="N46" i="4"/>
  <c r="M15" i="4"/>
  <c r="O42" i="4"/>
  <c r="O32" i="4"/>
  <c r="E7" i="4"/>
  <c r="M22" i="4"/>
  <c r="O45" i="4"/>
  <c r="N62" i="4"/>
  <c r="O21" i="4"/>
  <c r="O20" i="4"/>
  <c r="F5" i="4" l="1"/>
  <c r="F8" i="4"/>
  <c r="F7" i="4"/>
  <c r="F9" i="4"/>
  <c r="F11" i="4"/>
  <c r="F10" i="4"/>
  <c r="F3" i="4"/>
  <c r="F4" i="4"/>
  <c r="F12" i="4"/>
  <c r="F6" i="4"/>
  <c r="E2" i="3"/>
  <c r="R5" i="4" l="1"/>
  <c r="R6" i="4"/>
  <c r="Y9" i="4"/>
  <c r="R8" i="4"/>
  <c r="R9" i="4"/>
  <c r="Y8" i="4"/>
  <c r="Y7" i="4"/>
  <c r="R7" i="4"/>
  <c r="Y5" i="4"/>
  <c r="Y6" i="4"/>
  <c r="O10" i="4"/>
  <c r="AS116" i="6"/>
  <c r="AM166" i="6"/>
  <c r="AS508" i="6"/>
  <c r="AA49" i="6"/>
  <c r="N40" i="6"/>
  <c r="AS214" i="6"/>
  <c r="N37" i="6"/>
  <c r="AS228" i="6"/>
  <c r="AM187" i="6"/>
  <c r="AM275" i="6"/>
  <c r="AS137" i="6"/>
  <c r="AS469" i="6"/>
  <c r="AG56" i="6"/>
  <c r="AS434" i="6"/>
  <c r="AA96" i="6"/>
  <c r="AS124" i="6"/>
  <c r="AM195" i="6"/>
  <c r="AS45" i="6"/>
  <c r="AS413" i="6"/>
  <c r="AS503" i="6"/>
  <c r="M50" i="6"/>
  <c r="M45" i="6"/>
  <c r="AS288" i="6"/>
  <c r="AS437" i="6"/>
  <c r="AA13" i="6"/>
  <c r="AA42" i="6"/>
  <c r="AM79" i="6"/>
  <c r="AS287" i="6"/>
  <c r="AS442" i="6"/>
  <c r="AS84" i="6"/>
  <c r="AS225" i="6"/>
  <c r="AS247" i="6"/>
  <c r="AS498" i="6"/>
  <c r="AA63" i="6"/>
  <c r="AS495" i="6"/>
  <c r="AM214" i="6"/>
  <c r="E11" i="3"/>
  <c r="AS365" i="6"/>
  <c r="AM270" i="6"/>
  <c r="E6" i="3"/>
  <c r="AM286" i="6"/>
  <c r="AS352" i="6"/>
  <c r="AS66" i="6"/>
  <c r="AS494" i="6"/>
  <c r="M52" i="6"/>
  <c r="AG28" i="6"/>
  <c r="AA48" i="6"/>
  <c r="AG33" i="6"/>
  <c r="M55" i="6"/>
  <c r="AS196" i="6"/>
  <c r="AM309" i="6"/>
  <c r="M24" i="6"/>
  <c r="M35" i="6"/>
  <c r="AM124" i="6"/>
  <c r="AS200" i="6"/>
  <c r="AS320" i="6"/>
  <c r="E4" i="6"/>
  <c r="AA52" i="6"/>
  <c r="AM59" i="6"/>
  <c r="AM273" i="6"/>
  <c r="AM201" i="6"/>
  <c r="AG14" i="6"/>
  <c r="AM62" i="6"/>
  <c r="AS375" i="6"/>
  <c r="AS54" i="6"/>
  <c r="AS454" i="6"/>
  <c r="AA106" i="6"/>
  <c r="AS250" i="6"/>
  <c r="AM158" i="6"/>
  <c r="AM33" i="6"/>
  <c r="AS325" i="6"/>
  <c r="M39" i="6"/>
  <c r="AM142" i="6"/>
  <c r="AS285" i="6"/>
  <c r="AG26" i="6"/>
  <c r="AM292" i="6"/>
  <c r="AS89" i="6"/>
  <c r="AS315" i="6"/>
  <c r="AM154" i="6"/>
  <c r="AM110" i="6"/>
  <c r="AS457" i="6"/>
  <c r="AS220" i="6"/>
  <c r="M44" i="6"/>
  <c r="AM117" i="6"/>
  <c r="F5" i="6"/>
  <c r="AA21" i="6"/>
  <c r="AM276" i="6"/>
  <c r="AS107" i="6"/>
  <c r="AS77" i="6"/>
  <c r="AS20" i="6"/>
  <c r="M41" i="6"/>
  <c r="AS182" i="6"/>
  <c r="AM22" i="6"/>
  <c r="AG44" i="6"/>
  <c r="AS163" i="6"/>
  <c r="N42" i="6"/>
  <c r="AM227" i="6"/>
  <c r="AG30" i="6"/>
  <c r="AS436" i="6"/>
  <c r="AM98" i="6"/>
  <c r="AG46" i="6"/>
  <c r="AM252" i="6"/>
  <c r="AM120" i="6"/>
  <c r="N38" i="6"/>
  <c r="AM215" i="6"/>
  <c r="AS394" i="6"/>
  <c r="AS477" i="6"/>
  <c r="AS266" i="6"/>
  <c r="AS243" i="6"/>
  <c r="AS486" i="6"/>
  <c r="M28" i="6"/>
  <c r="AA105" i="6"/>
  <c r="AS134" i="6"/>
  <c r="AS449" i="6"/>
  <c r="M34" i="6"/>
  <c r="N34" i="6"/>
  <c r="AM32" i="6"/>
  <c r="AS452" i="6"/>
  <c r="AS249" i="6"/>
  <c r="AM160" i="6"/>
  <c r="AS281" i="6"/>
  <c r="AS148" i="6"/>
  <c r="AS265" i="6"/>
  <c r="AS255" i="6"/>
  <c r="AS52" i="6"/>
  <c r="AS145" i="6"/>
  <c r="AA18" i="6"/>
  <c r="AS139" i="6"/>
  <c r="AS385" i="6"/>
  <c r="M46" i="6"/>
  <c r="AS270" i="6"/>
  <c r="AS396" i="6"/>
  <c r="E5" i="6"/>
  <c r="AS376" i="6"/>
  <c r="M40" i="6"/>
  <c r="AA50" i="6"/>
  <c r="M43" i="6"/>
  <c r="AA32" i="6"/>
  <c r="AM146" i="6"/>
  <c r="AS506" i="6"/>
  <c r="AM116" i="6"/>
  <c r="M19" i="6"/>
  <c r="AS253" i="6"/>
  <c r="AA51" i="6"/>
  <c r="AM312" i="6"/>
  <c r="AM131" i="6"/>
  <c r="N14" i="6"/>
  <c r="AM181" i="6"/>
  <c r="AG47" i="6"/>
  <c r="AM156" i="6"/>
  <c r="E31" i="3"/>
  <c r="AS411" i="6"/>
  <c r="AM180" i="6"/>
  <c r="AM265" i="6"/>
  <c r="AM37" i="6"/>
  <c r="AS326" i="6"/>
  <c r="AA73" i="6"/>
  <c r="AS426" i="6"/>
  <c r="AM267" i="6"/>
  <c r="AG39" i="6"/>
  <c r="AM168" i="6"/>
  <c r="AS335" i="6"/>
  <c r="AS58" i="6"/>
  <c r="AM68" i="6"/>
  <c r="AS141" i="6"/>
  <c r="AS126" i="6"/>
  <c r="E19" i="3"/>
  <c r="AS55" i="6"/>
  <c r="AM50" i="6"/>
  <c r="AM297" i="6"/>
  <c r="N48" i="6"/>
  <c r="AM191" i="6"/>
  <c r="AM35" i="6"/>
  <c r="AS360" i="6"/>
  <c r="E24" i="3"/>
  <c r="F9" i="6"/>
  <c r="AS132" i="6"/>
  <c r="AS186" i="6"/>
  <c r="AA78" i="6"/>
  <c r="AS153" i="6"/>
  <c r="AM264" i="6"/>
  <c r="V5" i="4"/>
  <c r="AS105" i="6"/>
  <c r="AS319" i="6"/>
  <c r="AM38" i="6"/>
  <c r="AS142" i="6"/>
  <c r="M17" i="6"/>
  <c r="AG34" i="6"/>
  <c r="AA33" i="6"/>
  <c r="AM208" i="6"/>
  <c r="AS146" i="6"/>
  <c r="AS420" i="6"/>
  <c r="AS210" i="6"/>
  <c r="AS158" i="6"/>
  <c r="AA46" i="6"/>
  <c r="AS465" i="6"/>
  <c r="AS355" i="6"/>
  <c r="AA55" i="6"/>
  <c r="AS405" i="6"/>
  <c r="AM76" i="6"/>
  <c r="AS391" i="6"/>
  <c r="AM303" i="6"/>
  <c r="AS445" i="6"/>
  <c r="AM15" i="6"/>
  <c r="F4" i="6"/>
  <c r="AM60" i="6"/>
  <c r="AS30" i="6"/>
  <c r="AM314" i="6"/>
  <c r="AS343" i="6"/>
  <c r="AS197" i="6"/>
  <c r="AM242" i="6"/>
  <c r="M26" i="6"/>
  <c r="AA99" i="6"/>
  <c r="AS234" i="6"/>
  <c r="AS53" i="6"/>
  <c r="AM67" i="6"/>
  <c r="AM138" i="6"/>
  <c r="AS212" i="6"/>
  <c r="E8" i="6"/>
  <c r="AA101" i="6"/>
  <c r="N16" i="6"/>
  <c r="AS409" i="6"/>
  <c r="AM183" i="6"/>
  <c r="AM43" i="6"/>
  <c r="AM91" i="6"/>
  <c r="AS60" i="6"/>
  <c r="AS95" i="6"/>
  <c r="AA62" i="6"/>
  <c r="AM70" i="6"/>
  <c r="AS61" i="6"/>
  <c r="AM256" i="6"/>
  <c r="AM244" i="6"/>
  <c r="AS111" i="6"/>
  <c r="AM197" i="6"/>
  <c r="AS205" i="6"/>
  <c r="AS447" i="6"/>
  <c r="AS272" i="6"/>
  <c r="AS149" i="6"/>
  <c r="AS40" i="6"/>
  <c r="AM135" i="6"/>
  <c r="AS160" i="6"/>
  <c r="AM112" i="6"/>
  <c r="N39" i="6"/>
  <c r="M61" i="6"/>
  <c r="AS252" i="6"/>
  <c r="AA47" i="6"/>
  <c r="AS392" i="6"/>
  <c r="AS386" i="6"/>
  <c r="AG53" i="6"/>
  <c r="E4" i="3"/>
  <c r="N22" i="6"/>
  <c r="AA88" i="6"/>
  <c r="AS151" i="6"/>
  <c r="AS231" i="6"/>
  <c r="AS177" i="6"/>
  <c r="AA57" i="6"/>
  <c r="AS42" i="6"/>
  <c r="W6" i="4"/>
  <c r="AS185" i="6"/>
  <c r="E22" i="3"/>
  <c r="AA24" i="6"/>
  <c r="M29" i="6"/>
  <c r="AS96" i="6"/>
  <c r="AM249" i="6"/>
  <c r="AS470" i="6"/>
  <c r="AM211" i="6"/>
  <c r="N17" i="6"/>
  <c r="AS70" i="6"/>
  <c r="AS86" i="6"/>
  <c r="AA29" i="6"/>
  <c r="AM173" i="6"/>
  <c r="AM29" i="6"/>
  <c r="AS199" i="6"/>
  <c r="AS381" i="6"/>
  <c r="M62" i="6"/>
  <c r="N53" i="6"/>
  <c r="AG61" i="6"/>
  <c r="AM28" i="6"/>
  <c r="AM225" i="6"/>
  <c r="AS324" i="6"/>
  <c r="M15" i="6"/>
  <c r="AM52" i="6"/>
  <c r="AS378" i="6"/>
  <c r="AS424" i="6"/>
  <c r="N52" i="6"/>
  <c r="AM93" i="6"/>
  <c r="AA28" i="6"/>
  <c r="AS174" i="6"/>
  <c r="AS229" i="6"/>
  <c r="AA95" i="6"/>
  <c r="AS64" i="6"/>
  <c r="N46" i="6"/>
  <c r="AS284" i="6"/>
  <c r="AM230" i="6"/>
  <c r="AS257" i="6"/>
  <c r="AM300" i="6"/>
  <c r="AS421" i="6"/>
  <c r="E8" i="3"/>
  <c r="AS201" i="6"/>
  <c r="AS277" i="6"/>
  <c r="AM308" i="6"/>
  <c r="AM218" i="6"/>
  <c r="AS459" i="6"/>
  <c r="AM296" i="6"/>
  <c r="AS466" i="6"/>
  <c r="AS395" i="6"/>
  <c r="AM165" i="6"/>
  <c r="AS33" i="6"/>
  <c r="AM127" i="6"/>
  <c r="AM44" i="6"/>
  <c r="AM288" i="6"/>
  <c r="AS263" i="6"/>
  <c r="AM192" i="6"/>
  <c r="AM234" i="6"/>
  <c r="AS18" i="6"/>
  <c r="AS489" i="6"/>
  <c r="AS450" i="6"/>
  <c r="AS398" i="6"/>
  <c r="AS21" i="6"/>
  <c r="AM125" i="6"/>
  <c r="AS501" i="6"/>
  <c r="AS488" i="6"/>
  <c r="AS46" i="6"/>
  <c r="AM301" i="6"/>
  <c r="AS245" i="6"/>
  <c r="AM221" i="6"/>
  <c r="AM217" i="6"/>
  <c r="AG58" i="6"/>
  <c r="AM223" i="6"/>
  <c r="AS502" i="6"/>
  <c r="AS390" i="6"/>
  <c r="AA31" i="6"/>
  <c r="E32" i="3"/>
  <c r="AG38" i="6"/>
  <c r="AS408" i="6"/>
  <c r="AS473" i="6"/>
  <c r="AS283" i="6"/>
  <c r="AS485" i="6"/>
  <c r="AS341" i="6"/>
  <c r="N30" i="6"/>
  <c r="AM203" i="6"/>
  <c r="AS289" i="6"/>
  <c r="AS25" i="6"/>
  <c r="AM119" i="6"/>
  <c r="AA86" i="6"/>
  <c r="AS76" i="6"/>
  <c r="E27" i="3"/>
  <c r="AS475" i="6"/>
  <c r="AS455" i="6"/>
  <c r="AM82" i="6"/>
  <c r="AS178" i="6"/>
  <c r="AS513" i="6"/>
  <c r="AM54" i="6"/>
  <c r="AG23" i="6"/>
  <c r="AG19" i="6"/>
  <c r="AG17" i="6"/>
  <c r="AS129" i="6"/>
  <c r="AM222" i="6"/>
  <c r="AS382" i="6"/>
  <c r="AM202" i="6"/>
  <c r="E34" i="3"/>
  <c r="AS425" i="6"/>
  <c r="AS359" i="6"/>
  <c r="AM259" i="6"/>
  <c r="E12" i="3"/>
  <c r="AS150" i="6"/>
  <c r="AM87" i="6"/>
  <c r="AM298" i="6"/>
  <c r="AM86" i="6"/>
  <c r="AS406" i="6"/>
  <c r="AS397" i="6"/>
  <c r="AM89" i="6"/>
  <c r="AS301" i="6"/>
  <c r="M60" i="6"/>
  <c r="AM136" i="6"/>
  <c r="AS179" i="6"/>
  <c r="AM147" i="6"/>
  <c r="AS318" i="6"/>
  <c r="AS400" i="6"/>
  <c r="AS17" i="6"/>
  <c r="M22" i="6"/>
  <c r="N50" i="6"/>
  <c r="E28" i="3"/>
  <c r="AG52" i="6"/>
  <c r="AS338" i="6"/>
  <c r="AM78" i="6"/>
  <c r="AG50" i="6"/>
  <c r="S5" i="4"/>
  <c r="AS90" i="6"/>
  <c r="AM283" i="6"/>
  <c r="AS259" i="6"/>
  <c r="AS47" i="6"/>
  <c r="AS49" i="6"/>
  <c r="AA93" i="6"/>
  <c r="AM220" i="6"/>
  <c r="AS39" i="6"/>
  <c r="AS37" i="6"/>
  <c r="AS43" i="6"/>
  <c r="AM209" i="6"/>
  <c r="AS173" i="6"/>
  <c r="AS130" i="6"/>
  <c r="AG25" i="6"/>
  <c r="AM26" i="6"/>
  <c r="AS384" i="6"/>
  <c r="AS187" i="6"/>
  <c r="AG31" i="6"/>
  <c r="AM48" i="6"/>
  <c r="AS416" i="6"/>
  <c r="E23" i="3"/>
  <c r="AS164" i="6"/>
  <c r="AS211" i="6"/>
  <c r="AM162" i="6"/>
  <c r="AS51" i="6"/>
  <c r="AS348" i="6"/>
  <c r="AS227" i="6"/>
  <c r="AM212" i="6"/>
  <c r="AM24" i="6"/>
  <c r="AM243" i="6"/>
  <c r="AS474" i="6"/>
  <c r="S7" i="4"/>
  <c r="AA79" i="6"/>
  <c r="N54" i="6"/>
  <c r="AM97" i="6"/>
  <c r="AS218" i="6"/>
  <c r="AS162" i="6"/>
  <c r="AA15" i="6"/>
  <c r="AS112" i="6"/>
  <c r="AS157" i="6"/>
  <c r="AS339" i="6"/>
  <c r="AS242" i="6"/>
  <c r="AM126" i="6"/>
  <c r="AS471" i="6"/>
  <c r="AM246" i="6"/>
  <c r="AM106" i="6"/>
  <c r="AM260" i="6"/>
  <c r="AS65" i="6"/>
  <c r="AS114" i="6"/>
  <c r="AM95" i="6"/>
  <c r="AS244" i="6"/>
  <c r="AM90" i="6"/>
  <c r="AS35" i="6"/>
  <c r="AS198" i="6"/>
  <c r="AM306" i="6"/>
  <c r="S8" i="4"/>
  <c r="AG51" i="6"/>
  <c r="M53" i="6"/>
  <c r="M47" i="6"/>
  <c r="AS240" i="6"/>
  <c r="AS193" i="6"/>
  <c r="AM262" i="6"/>
  <c r="N33" i="6"/>
  <c r="AS370" i="6"/>
  <c r="AS78" i="6"/>
  <c r="AS491" i="6"/>
  <c r="AM247" i="6"/>
  <c r="AA25" i="6"/>
  <c r="AM233" i="6"/>
  <c r="E14" i="3"/>
  <c r="AM18" i="6"/>
  <c r="AS448" i="6"/>
  <c r="AS428" i="6"/>
  <c r="AS223" i="6"/>
  <c r="AS109" i="6"/>
  <c r="AM228" i="6"/>
  <c r="AM189" i="6"/>
  <c r="N25" i="6"/>
  <c r="AM75" i="6"/>
  <c r="M30" i="6"/>
  <c r="AA45" i="6"/>
  <c r="AM251" i="6"/>
  <c r="AS346" i="6"/>
  <c r="N35" i="6"/>
  <c r="AA68" i="6"/>
  <c r="AS101" i="6"/>
  <c r="M48" i="6"/>
  <c r="AM16" i="6"/>
  <c r="M33" i="6"/>
  <c r="AS62" i="6"/>
  <c r="AM170" i="6"/>
  <c r="AS380" i="6"/>
  <c r="AS108" i="6"/>
  <c r="AA72" i="6"/>
  <c r="AM194" i="6"/>
  <c r="AS275" i="6"/>
  <c r="N58" i="6"/>
  <c r="V8" i="4"/>
  <c r="AM115" i="6"/>
  <c r="AS478" i="6"/>
  <c r="AS92" i="6"/>
  <c r="M59" i="6"/>
  <c r="N55" i="6"/>
  <c r="AM171" i="6"/>
  <c r="AM139" i="6"/>
  <c r="AS410" i="6"/>
  <c r="AM186" i="6"/>
  <c r="AG45" i="6"/>
  <c r="N26" i="6"/>
  <c r="AM58" i="6"/>
  <c r="AS387" i="6"/>
  <c r="AA108" i="6"/>
  <c r="AM266" i="6"/>
  <c r="AS298" i="6"/>
  <c r="AS120" i="6"/>
  <c r="AS367" i="6"/>
  <c r="AG60" i="6"/>
  <c r="AM74" i="6"/>
  <c r="AM231" i="6"/>
  <c r="E15" i="3"/>
  <c r="AS222" i="6"/>
  <c r="AS379" i="6"/>
  <c r="AM152" i="6"/>
  <c r="N27" i="6"/>
  <c r="AM69" i="6"/>
  <c r="AM17" i="6"/>
  <c r="F8" i="6"/>
  <c r="AS127" i="6"/>
  <c r="AA80" i="6"/>
  <c r="AA17" i="6"/>
  <c r="M18" i="6"/>
  <c r="AA36" i="6"/>
  <c r="AM177" i="6"/>
  <c r="AM268" i="6"/>
  <c r="AS191" i="6"/>
  <c r="AM285" i="6"/>
  <c r="E30" i="3"/>
  <c r="M14" i="6"/>
  <c r="AM258" i="6"/>
  <c r="AS310" i="6"/>
  <c r="AS34" i="6"/>
  <c r="AS100" i="6"/>
  <c r="N32" i="6"/>
  <c r="AS460" i="6"/>
  <c r="AS279" i="6"/>
  <c r="AM111" i="6"/>
  <c r="AS176" i="6"/>
  <c r="AM271" i="6"/>
  <c r="AS299" i="6"/>
  <c r="AM193" i="6"/>
  <c r="AS68" i="6"/>
  <c r="N41" i="6"/>
  <c r="AS237" i="6"/>
  <c r="AM14" i="6"/>
  <c r="AG18" i="6"/>
  <c r="M51" i="6"/>
  <c r="AA43" i="6"/>
  <c r="AM20" i="6"/>
  <c r="AS294" i="6"/>
  <c r="V6" i="4"/>
  <c r="AS106" i="6"/>
  <c r="AS15" i="6"/>
  <c r="AS430" i="6"/>
  <c r="AS156" i="6"/>
  <c r="AS458" i="6"/>
  <c r="AS476" i="6"/>
  <c r="AM198" i="6"/>
  <c r="AS75" i="6"/>
  <c r="AG36" i="6"/>
  <c r="AM305" i="6"/>
  <c r="AM164" i="6"/>
  <c r="AS59" i="6"/>
  <c r="M27" i="6"/>
  <c r="AM73" i="6"/>
  <c r="AS481" i="6"/>
  <c r="AM64" i="6"/>
  <c r="AS16" i="6"/>
  <c r="AM206" i="6"/>
  <c r="AA98" i="6"/>
  <c r="W5" i="4"/>
  <c r="AA67" i="6"/>
  <c r="AM66" i="6"/>
  <c r="AA70" i="6"/>
  <c r="AS417" i="6"/>
  <c r="E13" i="3"/>
  <c r="AS102" i="6"/>
  <c r="AM167" i="6"/>
  <c r="AM179" i="6"/>
  <c r="E21" i="3"/>
  <c r="AM71" i="6"/>
  <c r="AS97" i="6"/>
  <c r="AG55" i="6"/>
  <c r="AS350" i="6"/>
  <c r="AS357" i="6"/>
  <c r="AS269" i="6"/>
  <c r="AA71" i="6"/>
  <c r="AS330" i="6"/>
  <c r="AM238" i="6"/>
  <c r="AM72" i="6"/>
  <c r="AM185" i="6"/>
  <c r="AS94" i="6"/>
  <c r="AM199" i="6"/>
  <c r="M21" i="6"/>
  <c r="AA89" i="6"/>
  <c r="AS251" i="6"/>
  <c r="E20" i="3"/>
  <c r="AM184" i="6"/>
  <c r="AS369" i="6"/>
  <c r="AA97" i="6"/>
  <c r="AM94" i="6"/>
  <c r="AS44" i="6"/>
  <c r="AS215" i="6"/>
  <c r="AM121" i="6"/>
  <c r="AM282" i="6"/>
  <c r="AS423" i="6"/>
  <c r="AM299" i="6"/>
  <c r="AA27" i="6"/>
  <c r="AS135" i="6"/>
  <c r="AS69" i="6"/>
  <c r="AS368" i="6"/>
  <c r="AM245" i="6"/>
  <c r="AS308" i="6"/>
  <c r="AS121" i="6"/>
  <c r="AS80" i="6"/>
  <c r="AM148" i="6"/>
  <c r="AM232" i="6"/>
  <c r="N18" i="6"/>
  <c r="AM61" i="6"/>
  <c r="AS143" i="6"/>
  <c r="AS28" i="6"/>
  <c r="S6" i="4"/>
  <c r="AM235" i="6"/>
  <c r="AS504" i="6"/>
  <c r="AM279" i="6"/>
  <c r="AS351" i="6"/>
  <c r="AM134" i="6"/>
  <c r="AS138" i="6"/>
  <c r="AS300" i="6"/>
  <c r="AS472" i="6"/>
  <c r="AM123" i="6"/>
  <c r="AS181" i="6"/>
  <c r="AS401" i="6"/>
  <c r="E5" i="3"/>
  <c r="AS232" i="6"/>
  <c r="M56" i="6"/>
  <c r="AS271" i="6"/>
  <c r="AS286" i="6"/>
  <c r="AS238" i="6"/>
  <c r="AG59" i="6"/>
  <c r="AA23" i="6"/>
  <c r="AA83" i="6"/>
  <c r="AA16" i="6"/>
  <c r="AM42" i="6"/>
  <c r="E9" i="3"/>
  <c r="AS260" i="6"/>
  <c r="AM80" i="6"/>
  <c r="AA75" i="6"/>
  <c r="N49" i="6"/>
  <c r="AS306" i="6"/>
  <c r="T5" i="4"/>
  <c r="AA35" i="6"/>
  <c r="AS88" i="6"/>
  <c r="AS204" i="6"/>
  <c r="AS131" i="6"/>
  <c r="N24" i="6"/>
  <c r="AM188" i="6"/>
  <c r="AS322" i="6"/>
  <c r="AS207" i="6"/>
  <c r="AS125" i="6"/>
  <c r="AM216" i="6"/>
  <c r="M25" i="6"/>
  <c r="AM277" i="6"/>
  <c r="AS133" i="6"/>
  <c r="AS354" i="6"/>
  <c r="AM250" i="6"/>
  <c r="AM269" i="6"/>
  <c r="AM157" i="6"/>
  <c r="AM237" i="6"/>
  <c r="AM175" i="6"/>
  <c r="AS236" i="6"/>
  <c r="AS216" i="6"/>
  <c r="AS482" i="6"/>
  <c r="AM311" i="6"/>
  <c r="AA20" i="6"/>
  <c r="AA69" i="6"/>
  <c r="AM204" i="6"/>
  <c r="W8" i="4"/>
  <c r="AS258" i="6"/>
  <c r="AS278" i="6"/>
  <c r="AM253" i="6"/>
  <c r="AM290" i="6"/>
  <c r="AG42" i="6"/>
  <c r="AM56" i="6"/>
  <c r="AM281" i="6"/>
  <c r="AS189" i="6"/>
  <c r="AS208" i="6"/>
  <c r="AS115" i="6"/>
  <c r="AM224" i="6"/>
  <c r="AM47" i="6"/>
  <c r="AS456" i="6"/>
  <c r="AS429" i="6"/>
  <c r="AM163" i="6"/>
  <c r="AS371" i="6"/>
  <c r="AS427" i="6"/>
  <c r="AM289" i="6"/>
  <c r="AS188" i="6"/>
  <c r="AS195" i="6"/>
  <c r="N19" i="6"/>
  <c r="N44" i="6"/>
  <c r="AA94" i="6"/>
  <c r="AM280" i="6"/>
  <c r="AS440" i="6"/>
  <c r="AM207" i="6"/>
  <c r="AS362" i="6"/>
  <c r="AS291" i="6"/>
  <c r="AM174" i="6"/>
  <c r="AM153" i="6"/>
  <c r="N61" i="6"/>
  <c r="AS412" i="6"/>
  <c r="AS484" i="6"/>
  <c r="AS332" i="6"/>
  <c r="AM49" i="6"/>
  <c r="AS262" i="6"/>
  <c r="AM190" i="6"/>
  <c r="AS190" i="6"/>
  <c r="AA76" i="6"/>
  <c r="AS415" i="6"/>
  <c r="AS453" i="6"/>
  <c r="AS311" i="6"/>
  <c r="AS349" i="6"/>
  <c r="AS377" i="6"/>
  <c r="AS226" i="6"/>
  <c r="F10" i="6"/>
  <c r="AS81" i="6"/>
  <c r="AM96" i="6"/>
  <c r="AM226" i="6"/>
  <c r="E10" i="6"/>
  <c r="AM149" i="6"/>
  <c r="AA81" i="6"/>
  <c r="AS462" i="6"/>
  <c r="AS290" i="6"/>
  <c r="AS403" i="6"/>
  <c r="AS27" i="6"/>
  <c r="AS505" i="6"/>
  <c r="AS119" i="6"/>
  <c r="E17" i="3"/>
  <c r="AS161" i="6"/>
  <c r="AG40" i="6"/>
  <c r="AM307" i="6"/>
  <c r="AS467" i="6"/>
  <c r="AS446" i="6"/>
  <c r="AS113" i="6"/>
  <c r="E11" i="6"/>
  <c r="E6" i="6"/>
  <c r="AS203" i="6"/>
  <c r="AS217" i="6"/>
  <c r="AG24" i="6"/>
  <c r="AS364" i="6"/>
  <c r="AS480" i="6"/>
  <c r="AA14" i="6"/>
  <c r="AS514" i="6"/>
  <c r="AS492" i="6"/>
  <c r="AS383" i="6"/>
  <c r="AM182" i="6"/>
  <c r="AS393" i="6"/>
  <c r="AS373" i="6"/>
  <c r="AS438" i="6"/>
  <c r="AG48" i="6"/>
  <c r="AS99" i="6"/>
  <c r="AS170" i="6"/>
  <c r="AS194" i="6"/>
  <c r="N13" i="6"/>
  <c r="M31" i="6"/>
  <c r="AM172" i="6"/>
  <c r="AM304" i="6"/>
  <c r="AS461" i="6"/>
  <c r="N62" i="6"/>
  <c r="AS248" i="6"/>
  <c r="AS166" i="6"/>
  <c r="N56" i="6"/>
  <c r="E16" i="3"/>
  <c r="N21" i="6"/>
  <c r="AA38" i="6"/>
  <c r="E10" i="3"/>
  <c r="AA112" i="6"/>
  <c r="AS327" i="6"/>
  <c r="AM145" i="6"/>
  <c r="AA56" i="6"/>
  <c r="AS309" i="6"/>
  <c r="AS374" i="6"/>
  <c r="AM169" i="6"/>
  <c r="AM295" i="6"/>
  <c r="AS239" i="6"/>
  <c r="AS293" i="6"/>
  <c r="E26" i="3"/>
  <c r="AM19" i="6"/>
  <c r="AM178" i="6"/>
  <c r="AS487" i="6"/>
  <c r="AS172" i="6"/>
  <c r="AS273" i="6"/>
  <c r="AS79" i="6"/>
  <c r="AM133" i="6"/>
  <c r="AS276" i="6"/>
  <c r="S9" i="4"/>
  <c r="AS74" i="6"/>
  <c r="AA30" i="6"/>
  <c r="AA40" i="6"/>
  <c r="AM141" i="6"/>
  <c r="AS388" i="6"/>
  <c r="AS497" i="6"/>
  <c r="M32" i="6"/>
  <c r="AS128" i="6"/>
  <c r="W9" i="4"/>
  <c r="AS122" i="6"/>
  <c r="AM278" i="6"/>
  <c r="AS93" i="6"/>
  <c r="AS117" i="6"/>
  <c r="AS510" i="6"/>
  <c r="AA39" i="6"/>
  <c r="AS451" i="6"/>
  <c r="W7" i="4"/>
  <c r="AS372" i="6"/>
  <c r="AS22" i="6"/>
  <c r="AS23" i="6"/>
  <c r="AS328" i="6"/>
  <c r="AS219" i="6"/>
  <c r="F3" i="6"/>
  <c r="AS432" i="6"/>
  <c r="AA77" i="6"/>
  <c r="AS282" i="6"/>
  <c r="AM55" i="6"/>
  <c r="AS317" i="6"/>
  <c r="AM57" i="6"/>
  <c r="AS344" i="6"/>
  <c r="AS233" i="6"/>
  <c r="AS499" i="6"/>
  <c r="AS303" i="6"/>
  <c r="AA84" i="6"/>
  <c r="AS154" i="6"/>
  <c r="AG37" i="6"/>
  <c r="AS192" i="6"/>
  <c r="AS337" i="6"/>
  <c r="AA87" i="6"/>
  <c r="AS407" i="6"/>
  <c r="AS224" i="6"/>
  <c r="AM161" i="6"/>
  <c r="AS91" i="6"/>
  <c r="AM284" i="6"/>
  <c r="AS140" i="6"/>
  <c r="AM144" i="6"/>
  <c r="AS50" i="6"/>
  <c r="N36" i="6"/>
  <c r="M57" i="6"/>
  <c r="AM140" i="6"/>
  <c r="N45" i="6"/>
  <c r="E7" i="6"/>
  <c r="AG20" i="6"/>
  <c r="AS402" i="6"/>
  <c r="AM27" i="6"/>
  <c r="AS333" i="6"/>
  <c r="AS48" i="6"/>
  <c r="AG32" i="6"/>
  <c r="AS209" i="6"/>
  <c r="E7" i="3"/>
  <c r="AG57" i="6"/>
  <c r="AS254" i="6"/>
  <c r="AA114" i="6"/>
  <c r="AG49" i="6"/>
  <c r="AM128" i="6"/>
  <c r="AS313" i="6"/>
  <c r="AM254" i="6"/>
  <c r="V7" i="4"/>
  <c r="AA74" i="6"/>
  <c r="AS295" i="6"/>
  <c r="AM291" i="6"/>
  <c r="AM155" i="6"/>
  <c r="AS363" i="6"/>
  <c r="AA41" i="6"/>
  <c r="AG21" i="6"/>
  <c r="AM41" i="6"/>
  <c r="AA113" i="6"/>
  <c r="M20" i="6"/>
  <c r="AA54" i="6"/>
  <c r="AS483" i="6"/>
  <c r="AS316" i="6"/>
  <c r="AS264" i="6"/>
  <c r="AA90" i="6"/>
  <c r="AA82" i="6"/>
  <c r="AS444" i="6"/>
  <c r="E29" i="3"/>
  <c r="AS183" i="6"/>
  <c r="AM39" i="6"/>
  <c r="AM143" i="6"/>
  <c r="AS118" i="6"/>
  <c r="AS171" i="6"/>
  <c r="AS500" i="6"/>
  <c r="AM132" i="6"/>
  <c r="AS443" i="6"/>
  <c r="AM105" i="6"/>
  <c r="AS110" i="6"/>
  <c r="AS26" i="6"/>
  <c r="AM240" i="6"/>
  <c r="AM108" i="6"/>
  <c r="AS464" i="6"/>
  <c r="AS511" i="6"/>
  <c r="AM150" i="6"/>
  <c r="E12" i="6"/>
  <c r="AM137" i="6"/>
  <c r="M38" i="6"/>
  <c r="AM274" i="6"/>
  <c r="AS280" i="6"/>
  <c r="F11" i="6"/>
  <c r="AS274" i="6"/>
  <c r="AS82" i="6"/>
  <c r="AS36" i="6"/>
  <c r="AS433" i="6"/>
  <c r="AS509" i="6"/>
  <c r="AM287" i="6"/>
  <c r="AM239" i="6"/>
  <c r="AS32" i="6"/>
  <c r="AS297" i="6"/>
  <c r="AM130" i="6"/>
  <c r="AM84" i="6"/>
  <c r="M16" i="6"/>
  <c r="AS41" i="6"/>
  <c r="AS169" i="6"/>
  <c r="AS331" i="6"/>
  <c r="AS422" i="6"/>
  <c r="AS323" i="6"/>
  <c r="AM255" i="6"/>
  <c r="AS202" i="6"/>
  <c r="AS493" i="6"/>
  <c r="AM257" i="6"/>
  <c r="AM122" i="6"/>
  <c r="AA59" i="6"/>
  <c r="AA22" i="6"/>
  <c r="AS305" i="6"/>
  <c r="AS175" i="6"/>
  <c r="AM65" i="6"/>
  <c r="AM159" i="6"/>
  <c r="AS261" i="6"/>
  <c r="T9" i="4"/>
  <c r="AS159" i="6"/>
  <c r="E25" i="3"/>
  <c r="N47" i="6"/>
  <c r="AM23" i="6"/>
  <c r="AS345" i="6"/>
  <c r="AS167" i="6"/>
  <c r="E3" i="6"/>
  <c r="AA61" i="6"/>
  <c r="F6" i="6"/>
  <c r="N31" i="6"/>
  <c r="M54" i="6"/>
  <c r="AG54" i="6"/>
  <c r="AG41" i="6"/>
  <c r="AA111" i="6"/>
  <c r="AS256" i="6"/>
  <c r="AA65" i="6"/>
  <c r="AM36" i="6"/>
  <c r="AS19" i="6"/>
  <c r="AA60" i="6"/>
  <c r="AS147" i="6"/>
  <c r="M58" i="6"/>
  <c r="AS347" i="6"/>
  <c r="AS241" i="6"/>
  <c r="AS329" i="6"/>
  <c r="AM99" i="6"/>
  <c r="AM30" i="6"/>
  <c r="AS235" i="6"/>
  <c r="AS418" i="6"/>
  <c r="AM293" i="6"/>
  <c r="N59" i="6"/>
  <c r="AS268" i="6"/>
  <c r="AG16" i="6"/>
  <c r="AS67" i="6"/>
  <c r="AS340" i="6"/>
  <c r="AM53" i="6"/>
  <c r="AM100" i="6"/>
  <c r="AS296" i="6"/>
  <c r="T6" i="4"/>
  <c r="AM294" i="6"/>
  <c r="AS321" i="6"/>
  <c r="AS246" i="6"/>
  <c r="AS136" i="6"/>
  <c r="AS165" i="6"/>
  <c r="AG15" i="6"/>
  <c r="AM236" i="6"/>
  <c r="AM272" i="6"/>
  <c r="N57" i="6"/>
  <c r="AM88" i="6"/>
  <c r="AA26" i="6"/>
  <c r="M23" i="6"/>
  <c r="AS168" i="6"/>
  <c r="AS302" i="6"/>
  <c r="M13" i="6"/>
  <c r="AS314" i="6"/>
  <c r="AM151" i="6"/>
  <c r="V9" i="4"/>
  <c r="AS24" i="6"/>
  <c r="T8" i="4"/>
  <c r="AM205" i="6"/>
  <c r="AM310" i="6"/>
  <c r="AS342" i="6"/>
  <c r="AM248" i="6"/>
  <c r="AM210" i="6"/>
  <c r="E18" i="3"/>
  <c r="N15" i="6"/>
  <c r="AA66" i="6"/>
  <c r="AS507" i="6"/>
  <c r="AA19" i="6"/>
  <c r="AA110" i="6"/>
  <c r="AS496" i="6"/>
  <c r="AM109" i="6"/>
  <c r="AS307" i="6"/>
  <c r="AA58" i="6"/>
  <c r="AS361" i="6"/>
  <c r="AM102" i="6"/>
  <c r="AS72" i="6"/>
  <c r="AM213" i="6"/>
  <c r="N28" i="6"/>
  <c r="F7" i="6"/>
  <c r="AS267" i="6"/>
  <c r="AM200" i="6"/>
  <c r="AM21" i="6"/>
  <c r="AS29" i="6"/>
  <c r="AA102" i="6"/>
  <c r="AS98" i="6"/>
  <c r="AM46" i="6"/>
  <c r="AA91" i="6"/>
  <c r="AM219" i="6"/>
  <c r="AG35" i="6"/>
  <c r="AS439" i="6"/>
  <c r="AM114" i="6"/>
  <c r="F12" i="6"/>
  <c r="AM196" i="6"/>
  <c r="AS221" i="6"/>
  <c r="AA53" i="6"/>
  <c r="M36" i="6"/>
  <c r="AM34" i="6"/>
  <c r="AS180" i="6"/>
  <c r="E33" i="3"/>
  <c r="AA37" i="6"/>
  <c r="N23" i="6"/>
  <c r="AG62" i="6"/>
  <c r="E9" i="6"/>
  <c r="N51" i="6"/>
  <c r="AM25" i="6"/>
  <c r="AS334" i="6"/>
  <c r="N29" i="6"/>
  <c r="AA100" i="6"/>
  <c r="AM51" i="6"/>
  <c r="AM261" i="6"/>
  <c r="AS312" i="6"/>
  <c r="AA85" i="6"/>
  <c r="AA92" i="6"/>
  <c r="AS463" i="6"/>
  <c r="AS71" i="6"/>
  <c r="AS56" i="6"/>
  <c r="AG13" i="6"/>
  <c r="N20" i="6"/>
  <c r="AS57" i="6"/>
  <c r="AM40" i="6"/>
  <c r="N43" i="6"/>
  <c r="AG29" i="6"/>
  <c r="AS358" i="6"/>
  <c r="M42" i="6"/>
  <c r="AA44" i="6"/>
  <c r="AS38" i="6"/>
  <c r="AS468" i="6"/>
  <c r="AS85" i="6"/>
  <c r="AM118" i="6"/>
  <c r="AS389" i="6"/>
  <c r="AM77" i="6"/>
  <c r="AS13" i="6"/>
  <c r="AM176" i="6"/>
  <c r="AM107" i="6"/>
  <c r="AS356" i="6"/>
  <c r="AS404" i="6"/>
  <c r="AS152" i="6"/>
  <c r="AS419" i="6"/>
  <c r="AM263" i="6"/>
  <c r="AM302" i="6"/>
  <c r="AM101" i="6"/>
  <c r="AS144" i="6"/>
  <c r="AM313" i="6"/>
  <c r="AS304" i="6"/>
  <c r="AS366" i="6"/>
  <c r="AS184" i="6"/>
  <c r="AS206" i="6"/>
  <c r="AS230" i="6"/>
  <c r="AM85" i="6"/>
  <c r="N60" i="6"/>
  <c r="AA107" i="6"/>
  <c r="AG27" i="6"/>
  <c r="AS14" i="6"/>
  <c r="AM13" i="6"/>
  <c r="AS73" i="6"/>
  <c r="AA64" i="6"/>
  <c r="AM92" i="6"/>
  <c r="AS435" i="6"/>
  <c r="AM113" i="6"/>
  <c r="T7" i="4"/>
  <c r="AS155" i="6"/>
  <c r="AA34" i="6"/>
  <c r="AS87" i="6"/>
  <c r="AM63" i="6"/>
  <c r="AM45" i="6"/>
  <c r="AM31" i="6"/>
  <c r="AS336" i="6"/>
  <c r="AM229" i="6"/>
  <c r="AG22" i="6"/>
  <c r="AS490" i="6"/>
  <c r="AM83" i="6"/>
  <c r="AS441" i="6"/>
  <c r="AS479" i="6"/>
  <c r="AG43" i="6"/>
  <c r="AS414" i="6"/>
  <c r="AS399" i="6"/>
  <c r="AS63" i="6"/>
  <c r="AS353" i="6"/>
  <c r="AM81" i="6"/>
  <c r="AS31" i="6"/>
  <c r="AM129" i="6"/>
  <c r="M49" i="6"/>
  <c r="AS123" i="6"/>
  <c r="AS292" i="6"/>
  <c r="AS213" i="6"/>
  <c r="AS83" i="6"/>
  <c r="M37" i="6"/>
  <c r="AM241" i="6"/>
  <c r="AS431" i="6"/>
  <c r="AA109" i="6"/>
  <c r="AS512" i="6"/>
  <c r="G6" i="6" l="1"/>
  <c r="G4" i="6"/>
  <c r="G10" i="6"/>
  <c r="G11" i="6"/>
  <c r="G7" i="6"/>
  <c r="G8" i="6"/>
  <c r="G3" i="6"/>
  <c r="G5" i="6"/>
  <c r="G12" i="6"/>
  <c r="G9" i="6"/>
  <c r="X9" i="4"/>
  <c r="L11" i="3"/>
  <c r="X7" i="4"/>
  <c r="U9" i="4"/>
  <c r="L9" i="3"/>
  <c r="L6" i="3"/>
  <c r="U6" i="4"/>
  <c r="L3" i="3"/>
  <c r="X6" i="4"/>
  <c r="X8" i="4"/>
  <c r="U8" i="4"/>
  <c r="U7" i="4"/>
  <c r="L8" i="3"/>
  <c r="U5" i="4"/>
  <c r="L10" i="3"/>
  <c r="L5" i="3"/>
  <c r="L12" i="3"/>
  <c r="L4" i="3"/>
  <c r="X5" i="4"/>
  <c r="L7" i="3"/>
</calcChain>
</file>

<file path=xl/sharedStrings.xml><?xml version="1.0" encoding="utf-8"?>
<sst xmlns="http://schemas.openxmlformats.org/spreadsheetml/2006/main" count="2451" uniqueCount="1962">
  <si>
    <t>日期</t>
    <phoneticPr fontId="2" type="noConversion"/>
  </si>
  <si>
    <t>交易代码</t>
    <phoneticPr fontId="2" type="noConversion"/>
  </si>
  <si>
    <t>基金名称</t>
    <phoneticPr fontId="2" type="noConversion"/>
  </si>
  <si>
    <t>规模（亿元）</t>
    <phoneticPr fontId="2" type="noConversion"/>
  </si>
  <si>
    <t>净值</t>
    <phoneticPr fontId="2" type="noConversion"/>
  </si>
  <si>
    <t>指数代码</t>
    <phoneticPr fontId="2" type="noConversion"/>
  </si>
  <si>
    <t>指数名称</t>
    <phoneticPr fontId="2" type="noConversion"/>
  </si>
  <si>
    <t>周涨跌幅</t>
    <phoneticPr fontId="2" type="noConversion"/>
  </si>
  <si>
    <t>PE（TTM)</t>
    <phoneticPr fontId="2" type="noConversion"/>
  </si>
  <si>
    <t>000001.SH</t>
    <phoneticPr fontId="2" type="noConversion"/>
  </si>
  <si>
    <t>000905.SH</t>
    <phoneticPr fontId="2" type="noConversion"/>
  </si>
  <si>
    <t>000852.SH</t>
    <phoneticPr fontId="2" type="noConversion"/>
  </si>
  <si>
    <t>399006.SZ</t>
    <phoneticPr fontId="2" type="noConversion"/>
  </si>
  <si>
    <t>399673.SZ</t>
  </si>
  <si>
    <t>399673.SZ</t>
    <phoneticPr fontId="2" type="noConversion"/>
  </si>
  <si>
    <t>份额（亿）</t>
    <phoneticPr fontId="2" type="noConversion"/>
  </si>
  <si>
    <t>000688.SH</t>
    <phoneticPr fontId="2" type="noConversion"/>
  </si>
  <si>
    <t>市盈率分位数（右轴）</t>
    <phoneticPr fontId="2" type="noConversion"/>
  </si>
  <si>
    <t>证券代码</t>
  </si>
  <si>
    <t>证券简称</t>
  </si>
  <si>
    <t>区间涨跌幅 %↓</t>
    <phoneticPr fontId="5" type="noConversion"/>
  </si>
  <si>
    <t>食品饮料(申万)</t>
  </si>
  <si>
    <t>美容护理(申万)</t>
  </si>
  <si>
    <t>社会服务(申万)</t>
  </si>
  <si>
    <t>商贸零售(申万)</t>
  </si>
  <si>
    <t>传媒(申万)</t>
  </si>
  <si>
    <t>综合(申万)</t>
  </si>
  <si>
    <t>纺织服饰(申万)</t>
  </si>
  <si>
    <t>农林牧渔(申万)</t>
  </si>
  <si>
    <t>银行(申万)</t>
  </si>
  <si>
    <t>家用电器(申万)</t>
  </si>
  <si>
    <t>轻工制造(申万)</t>
  </si>
  <si>
    <t>交通运输(申万)</t>
  </si>
  <si>
    <t>非银金融(申万)</t>
  </si>
  <si>
    <t>计算机(申万)</t>
  </si>
  <si>
    <t>医药生物(申万)</t>
  </si>
  <si>
    <t>建筑材料(申万)</t>
  </si>
  <si>
    <t>电力设备(申万)</t>
  </si>
  <si>
    <t>通信(申万)</t>
  </si>
  <si>
    <t>基础化工(申万)</t>
  </si>
  <si>
    <t>电子(申万)</t>
  </si>
  <si>
    <t>钢铁(申万)</t>
  </si>
  <si>
    <t>国防军工(申万)</t>
  </si>
  <si>
    <t>公用事业(申万)</t>
  </si>
  <si>
    <t>环保(申万)</t>
  </si>
  <si>
    <t>机械设备(申万)</t>
  </si>
  <si>
    <t>石油石化(申万)</t>
  </si>
  <si>
    <t>有色金属(申万)</t>
  </si>
  <si>
    <t>汽车(申万)</t>
  </si>
  <si>
    <t>建筑装饰(申万)</t>
  </si>
  <si>
    <t>房地产(申万)</t>
  </si>
  <si>
    <t>煤炭(申万)</t>
  </si>
  <si>
    <t>电力设备</t>
  </si>
  <si>
    <t>电子</t>
  </si>
  <si>
    <t>计算机</t>
  </si>
  <si>
    <t>传媒</t>
  </si>
  <si>
    <t>行业</t>
    <phoneticPr fontId="2" type="noConversion"/>
  </si>
  <si>
    <t>周涨跌幅</t>
  </si>
  <si>
    <t>占比（%）</t>
    <phoneticPr fontId="2" type="noConversion"/>
  </si>
  <si>
    <t>证券名称</t>
    <phoneticPr fontId="2" type="noConversion"/>
  </si>
  <si>
    <t>周涨跌幅（右轴）</t>
    <phoneticPr fontId="2" type="noConversion"/>
  </si>
  <si>
    <t>过去一年成交</t>
    <phoneticPr fontId="2" type="noConversion"/>
  </si>
  <si>
    <t>通信</t>
  </si>
  <si>
    <t>国防军工</t>
  </si>
  <si>
    <t>医药生物</t>
  </si>
  <si>
    <t>指数代码</t>
    <phoneticPr fontId="2" type="noConversion"/>
  </si>
  <si>
    <t/>
  </si>
  <si>
    <t>非银金融</t>
  </si>
  <si>
    <t>机械设备</t>
  </si>
  <si>
    <t>美容护理</t>
  </si>
  <si>
    <t>周涨跌幅</t>
    <phoneticPr fontId="2" type="noConversion"/>
  </si>
  <si>
    <t>申万一级行业</t>
    <phoneticPr fontId="2" type="noConversion"/>
  </si>
  <si>
    <t xml:space="preserve"> </t>
    <phoneticPr fontId="2" type="noConversion"/>
  </si>
  <si>
    <t>行标签</t>
  </si>
  <si>
    <t>总计</t>
  </si>
  <si>
    <t>求和项:最新权重</t>
  </si>
  <si>
    <t>代码</t>
    <phoneticPr fontId="2" type="noConversion"/>
  </si>
  <si>
    <t>简称</t>
    <phoneticPr fontId="2" type="noConversion"/>
  </si>
  <si>
    <t>权重（%）</t>
    <phoneticPr fontId="2" type="noConversion"/>
  </si>
  <si>
    <t>申银万国一级行业</t>
    <phoneticPr fontId="2" type="noConversion"/>
  </si>
  <si>
    <t>总市值</t>
    <phoneticPr fontId="2" type="noConversion"/>
  </si>
  <si>
    <t>近十年</t>
    <phoneticPr fontId="2" type="noConversion"/>
  </si>
  <si>
    <t>近三年</t>
    <phoneticPr fontId="2" type="noConversion"/>
  </si>
  <si>
    <t>000300.SH</t>
    <phoneticPr fontId="2" type="noConversion"/>
  </si>
  <si>
    <t>000510.CSI</t>
    <phoneticPr fontId="2" type="noConversion"/>
  </si>
  <si>
    <t>华安创业板50ETF</t>
  </si>
  <si>
    <t>年涨跌幅</t>
    <phoneticPr fontId="2" type="noConversion"/>
  </si>
  <si>
    <t>399001.SZ</t>
    <phoneticPr fontId="2" type="noConversion"/>
  </si>
  <si>
    <t>指数代码</t>
    <phoneticPr fontId="2" type="noConversion"/>
  </si>
  <si>
    <t>简称</t>
    <phoneticPr fontId="2" type="noConversion"/>
  </si>
  <si>
    <t>权重（%）</t>
    <phoneticPr fontId="2" type="noConversion"/>
  </si>
  <si>
    <t>总市值（亿元）</t>
    <phoneticPr fontId="14" type="noConversion"/>
  </si>
  <si>
    <t>000688.SH</t>
    <phoneticPr fontId="14" type="noConversion"/>
  </si>
  <si>
    <t>指数代码</t>
    <phoneticPr fontId="14" type="noConversion"/>
  </si>
  <si>
    <t>指数名称</t>
    <phoneticPr fontId="14" type="noConversion"/>
  </si>
  <si>
    <t>金融科技</t>
    <phoneticPr fontId="14" type="noConversion"/>
  </si>
  <si>
    <t>光模块</t>
    <phoneticPr fontId="14" type="noConversion"/>
  </si>
  <si>
    <t>申万一级行业</t>
    <phoneticPr fontId="2" type="noConversion"/>
  </si>
  <si>
    <t>399673.SZ</t>
    <phoneticPr fontId="14" type="noConversion"/>
  </si>
  <si>
    <t>创业板50</t>
    <phoneticPr fontId="14" type="noConversion"/>
  </si>
  <si>
    <t>399006.SZ</t>
    <phoneticPr fontId="14" type="noConversion"/>
  </si>
  <si>
    <t>创业板指</t>
    <phoneticPr fontId="14" type="noConversion"/>
  </si>
  <si>
    <t>科创50</t>
    <phoneticPr fontId="14" type="noConversion"/>
  </si>
  <si>
    <t>000300.SH</t>
    <phoneticPr fontId="14" type="noConversion"/>
  </si>
  <si>
    <t>沪深300</t>
    <phoneticPr fontId="14" type="noConversion"/>
  </si>
  <si>
    <t>000905.SH</t>
    <phoneticPr fontId="14" type="noConversion"/>
  </si>
  <si>
    <t>中证500</t>
    <phoneticPr fontId="14" type="noConversion"/>
  </si>
  <si>
    <t>纺织服饰</t>
  </si>
  <si>
    <t>环保</t>
  </si>
  <si>
    <t>基础化工</t>
  </si>
  <si>
    <t>农林牧渔</t>
  </si>
  <si>
    <t>社会服务</t>
  </si>
  <si>
    <t>食品饮料</t>
  </si>
  <si>
    <t>有色金属</t>
  </si>
  <si>
    <t>家用电器</t>
  </si>
  <si>
    <t>汽车</t>
  </si>
  <si>
    <t>房地产</t>
  </si>
  <si>
    <t>钢铁</t>
  </si>
  <si>
    <t>公用事业</t>
  </si>
  <si>
    <t>建筑材料</t>
  </si>
  <si>
    <t>建筑装饰</t>
  </si>
  <si>
    <t>交通运输</t>
  </si>
  <si>
    <t>煤炭</t>
  </si>
  <si>
    <t>轻工制造</t>
  </si>
  <si>
    <t>商贸零售</t>
  </si>
  <si>
    <t>石油石化</t>
  </si>
  <si>
    <t>银行</t>
  </si>
  <si>
    <t>综合</t>
  </si>
  <si>
    <t>近十年市盈率分位数（右轴）</t>
    <phoneticPr fontId="2" type="noConversion"/>
  </si>
  <si>
    <t>新能源光伏</t>
    <phoneticPr fontId="14" type="noConversion"/>
  </si>
  <si>
    <t>上周日均成交额（亿元）</t>
    <phoneticPr fontId="2" type="noConversion"/>
  </si>
  <si>
    <t>688506.SH</t>
    <phoneticPr fontId="14" type="noConversion"/>
  </si>
  <si>
    <t>688819.SH</t>
    <phoneticPr fontId="14" type="noConversion"/>
  </si>
  <si>
    <t>天能股份</t>
    <phoneticPr fontId="14" type="noConversion"/>
  </si>
  <si>
    <t>中芯国际</t>
    <phoneticPr fontId="14" type="noConversion"/>
  </si>
  <si>
    <t>689009.SH</t>
    <phoneticPr fontId="14" type="noConversion"/>
  </si>
  <si>
    <t>九号公司</t>
    <phoneticPr fontId="14" type="noConversion"/>
  </si>
  <si>
    <t>302132.SZ</t>
    <phoneticPr fontId="14" type="noConversion"/>
  </si>
  <si>
    <t>中航成飞</t>
    <phoneticPr fontId="14" type="noConversion"/>
  </si>
  <si>
    <t>百利天恒</t>
    <phoneticPr fontId="14" type="noConversion"/>
  </si>
  <si>
    <t>688981.SH</t>
    <phoneticPr fontId="14" type="noConversion"/>
  </si>
  <si>
    <t>301611.SZ</t>
    <phoneticPr fontId="14" type="noConversion"/>
  </si>
  <si>
    <t>珂玛科技</t>
    <phoneticPr fontId="14" type="noConversion"/>
  </si>
  <si>
    <t>(空白)</t>
  </si>
  <si>
    <t>数据池名称</t>
    <phoneticPr fontId="14" type="noConversion"/>
  </si>
  <si>
    <t>index</t>
    <phoneticPr fontId="14" type="noConversion"/>
  </si>
  <si>
    <t>指数成分</t>
    <phoneticPr fontId="14" type="noConversion"/>
  </si>
  <si>
    <t>日期</t>
    <phoneticPr fontId="14" type="noConversion"/>
  </si>
  <si>
    <t>最新</t>
    <phoneticPr fontId="14" type="noConversion"/>
  </si>
  <si>
    <t>同花顺代码</t>
    <phoneticPr fontId="14" type="noConversion"/>
  </si>
  <si>
    <t>证券名称</t>
    <phoneticPr fontId="14" type="noConversion"/>
  </si>
  <si>
    <t>最新权重</t>
    <phoneticPr fontId="14" type="noConversion"/>
  </si>
  <si>
    <t>平安银行</t>
    <phoneticPr fontId="14" type="noConversion"/>
  </si>
  <si>
    <t>000166.SZ</t>
    <phoneticPr fontId="14" type="noConversion"/>
  </si>
  <si>
    <t>澜起科技</t>
    <phoneticPr fontId="14" type="noConversion"/>
  </si>
  <si>
    <t>688082.SH</t>
    <phoneticPr fontId="14" type="noConversion"/>
  </si>
  <si>
    <t>688271.SH</t>
    <phoneticPr fontId="14" type="noConversion"/>
  </si>
  <si>
    <t>688303.SH</t>
    <phoneticPr fontId="14" type="noConversion"/>
  </si>
  <si>
    <t>688396.SH</t>
    <phoneticPr fontId="14" type="noConversion"/>
  </si>
  <si>
    <t>阿特斯</t>
    <phoneticPr fontId="14" type="noConversion"/>
  </si>
  <si>
    <t>数据池名称</t>
    <phoneticPr fontId="2" type="noConversion"/>
  </si>
  <si>
    <t>指数成分</t>
    <phoneticPr fontId="2" type="noConversion"/>
  </si>
  <si>
    <t>最新</t>
    <phoneticPr fontId="2" type="noConversion"/>
  </si>
  <si>
    <t>指数名称</t>
    <phoneticPr fontId="2" type="noConversion"/>
  </si>
  <si>
    <t>同花顺代码</t>
    <phoneticPr fontId="2" type="noConversion"/>
  </si>
  <si>
    <t>最新权重</t>
    <phoneticPr fontId="2" type="noConversion"/>
  </si>
  <si>
    <t>东方财富</t>
    <phoneticPr fontId="2" type="noConversion"/>
  </si>
  <si>
    <t>智飞生物</t>
    <phoneticPr fontId="2" type="noConversion"/>
  </si>
  <si>
    <t>汇川技术</t>
    <phoneticPr fontId="2" type="noConversion"/>
  </si>
  <si>
    <t>300136.SZ</t>
    <phoneticPr fontId="2" type="noConversion"/>
  </si>
  <si>
    <t>欣旺达</t>
    <phoneticPr fontId="2" type="noConversion"/>
  </si>
  <si>
    <t>300223.SZ</t>
    <phoneticPr fontId="2" type="noConversion"/>
  </si>
  <si>
    <t>300308.SZ</t>
    <phoneticPr fontId="2" type="noConversion"/>
  </si>
  <si>
    <t>300346.SZ</t>
    <phoneticPr fontId="2" type="noConversion"/>
  </si>
  <si>
    <t>300458.SZ</t>
    <phoneticPr fontId="2" type="noConversion"/>
  </si>
  <si>
    <t>捷佳伟创</t>
    <phoneticPr fontId="2" type="noConversion"/>
  </si>
  <si>
    <t>协创数据</t>
    <phoneticPr fontId="2" type="noConversion"/>
  </si>
  <si>
    <t>300012.SZ</t>
    <phoneticPr fontId="14" type="noConversion"/>
  </si>
  <si>
    <t>菲利华</t>
    <phoneticPr fontId="14" type="noConversion"/>
  </si>
  <si>
    <t>300529.SZ</t>
    <phoneticPr fontId="14" type="noConversion"/>
  </si>
  <si>
    <t>300763.SZ</t>
    <phoneticPr fontId="14" type="noConversion"/>
  </si>
  <si>
    <t>中国宝安</t>
    <phoneticPr fontId="14" type="noConversion"/>
  </si>
  <si>
    <t>000021.SZ</t>
    <phoneticPr fontId="14" type="noConversion"/>
  </si>
  <si>
    <t>深科技</t>
    <phoneticPr fontId="14" type="noConversion"/>
  </si>
  <si>
    <t>深天马A</t>
    <phoneticPr fontId="14" type="noConversion"/>
  </si>
  <si>
    <t>深圳华强</t>
    <phoneticPr fontId="14" type="noConversion"/>
  </si>
  <si>
    <t>000400.SZ</t>
    <phoneticPr fontId="14" type="noConversion"/>
  </si>
  <si>
    <t>000415.SZ</t>
    <phoneticPr fontId="14" type="noConversion"/>
  </si>
  <si>
    <t>渤海租赁</t>
    <phoneticPr fontId="14" type="noConversion"/>
  </si>
  <si>
    <t>东阿阿胶</t>
    <phoneticPr fontId="14" type="noConversion"/>
  </si>
  <si>
    <t>000623.SZ</t>
    <phoneticPr fontId="14" type="noConversion"/>
  </si>
  <si>
    <t>000703.SZ</t>
    <phoneticPr fontId="14" type="noConversion"/>
  </si>
  <si>
    <t>恒逸石化</t>
    <phoneticPr fontId="14" type="noConversion"/>
  </si>
  <si>
    <t>燕京啤酒</t>
    <phoneticPr fontId="14" type="noConversion"/>
  </si>
  <si>
    <t>中鼎股份</t>
    <phoneticPr fontId="14" type="noConversion"/>
  </si>
  <si>
    <t>冀中能源</t>
    <phoneticPr fontId="14" type="noConversion"/>
  </si>
  <si>
    <t>越秀资本</t>
    <phoneticPr fontId="14" type="noConversion"/>
  </si>
  <si>
    <t>002007.SZ</t>
    <phoneticPr fontId="14" type="noConversion"/>
  </si>
  <si>
    <t>002223.SZ</t>
    <phoneticPr fontId="14" type="noConversion"/>
  </si>
  <si>
    <t>002262.SZ</t>
    <phoneticPr fontId="14" type="noConversion"/>
  </si>
  <si>
    <t>中粮资本</t>
    <phoneticPr fontId="14" type="noConversion"/>
  </si>
  <si>
    <t>002670.SZ</t>
    <phoneticPr fontId="14" type="noConversion"/>
  </si>
  <si>
    <t>科达利</t>
    <phoneticPr fontId="14" type="noConversion"/>
  </si>
  <si>
    <t>600884.SH</t>
    <phoneticPr fontId="14" type="noConversion"/>
  </si>
  <si>
    <t>601001.SH</t>
    <phoneticPr fontId="14" type="noConversion"/>
  </si>
  <si>
    <t>中策橡胶</t>
    <phoneticPr fontId="14" type="noConversion"/>
  </si>
  <si>
    <t>603589.SH</t>
    <phoneticPr fontId="14" type="noConversion"/>
  </si>
  <si>
    <t>688183.SH</t>
    <phoneticPr fontId="14" type="noConversion"/>
  </si>
  <si>
    <t>生益电子</t>
    <phoneticPr fontId="14" type="noConversion"/>
  </si>
  <si>
    <t>688234.SH</t>
    <phoneticPr fontId="14" type="noConversion"/>
  </si>
  <si>
    <t>中科飞测</t>
    <phoneticPr fontId="14" type="noConversion"/>
  </si>
  <si>
    <t>688469.SH</t>
    <phoneticPr fontId="14" type="noConversion"/>
  </si>
  <si>
    <t>688525.SH</t>
    <phoneticPr fontId="14" type="noConversion"/>
  </si>
  <si>
    <t>证券名称</t>
    <phoneticPr fontId="2" type="noConversion"/>
  </si>
  <si>
    <t>index</t>
    <phoneticPr fontId="2" type="noConversion"/>
  </si>
  <si>
    <t>日期</t>
    <phoneticPr fontId="2" type="noConversion"/>
  </si>
  <si>
    <t>指数名称</t>
    <phoneticPr fontId="2" type="noConversion"/>
  </si>
  <si>
    <t>399673.SZ</t>
    <phoneticPr fontId="2" type="noConversion"/>
  </si>
  <si>
    <t>300002.SZ</t>
    <phoneticPr fontId="2" type="noConversion"/>
  </si>
  <si>
    <t>神州泰岳</t>
    <phoneticPr fontId="2" type="noConversion"/>
  </si>
  <si>
    <t>300014.SZ</t>
    <phoneticPr fontId="2" type="noConversion"/>
  </si>
  <si>
    <t>亿纬锂能</t>
    <phoneticPr fontId="2" type="noConversion"/>
  </si>
  <si>
    <t>300015.SZ</t>
    <phoneticPr fontId="2" type="noConversion"/>
  </si>
  <si>
    <t>爱尔眼科</t>
    <phoneticPr fontId="2" type="noConversion"/>
  </si>
  <si>
    <t>300017.SZ</t>
    <phoneticPr fontId="2" type="noConversion"/>
  </si>
  <si>
    <t>网宿科技</t>
    <phoneticPr fontId="2" type="noConversion"/>
  </si>
  <si>
    <t>300024.SZ</t>
    <phoneticPr fontId="2" type="noConversion"/>
  </si>
  <si>
    <t>机器人</t>
    <phoneticPr fontId="2" type="noConversion"/>
  </si>
  <si>
    <t>300033.SZ</t>
    <phoneticPr fontId="2" type="noConversion"/>
  </si>
  <si>
    <t>同花顺</t>
    <phoneticPr fontId="2" type="noConversion"/>
  </si>
  <si>
    <t>300058.SZ</t>
    <phoneticPr fontId="2" type="noConversion"/>
  </si>
  <si>
    <t>蓝色光标</t>
    <phoneticPr fontId="2" type="noConversion"/>
  </si>
  <si>
    <t>300059.SZ</t>
    <phoneticPr fontId="2" type="noConversion"/>
  </si>
  <si>
    <t>东方财富</t>
    <phoneticPr fontId="2" type="noConversion"/>
  </si>
  <si>
    <t>300073.SZ</t>
    <phoneticPr fontId="2" type="noConversion"/>
  </si>
  <si>
    <t>当升科技</t>
    <phoneticPr fontId="2" type="noConversion"/>
  </si>
  <si>
    <t>300115.SZ</t>
    <phoneticPr fontId="2" type="noConversion"/>
  </si>
  <si>
    <t>长盈精密</t>
    <phoneticPr fontId="2" type="noConversion"/>
  </si>
  <si>
    <t>300122.SZ</t>
    <phoneticPr fontId="2" type="noConversion"/>
  </si>
  <si>
    <t>智飞生物</t>
    <phoneticPr fontId="2" type="noConversion"/>
  </si>
  <si>
    <t>300124.SZ</t>
    <phoneticPr fontId="2" type="noConversion"/>
  </si>
  <si>
    <t>汇川技术</t>
    <phoneticPr fontId="2" type="noConversion"/>
  </si>
  <si>
    <t>300136.SZ</t>
    <phoneticPr fontId="2" type="noConversion"/>
  </si>
  <si>
    <t>信维通信</t>
    <phoneticPr fontId="2" type="noConversion"/>
  </si>
  <si>
    <t>300207.SZ</t>
    <phoneticPr fontId="2" type="noConversion"/>
  </si>
  <si>
    <t>欣旺达</t>
    <phoneticPr fontId="2" type="noConversion"/>
  </si>
  <si>
    <t>300223.SZ</t>
    <phoneticPr fontId="2" type="noConversion"/>
  </si>
  <si>
    <t>北京君正</t>
    <phoneticPr fontId="2" type="noConversion"/>
  </si>
  <si>
    <t>300251.SZ</t>
    <phoneticPr fontId="2" type="noConversion"/>
  </si>
  <si>
    <t>光线传媒</t>
    <phoneticPr fontId="2" type="noConversion"/>
  </si>
  <si>
    <t>300255.SZ</t>
    <phoneticPr fontId="2" type="noConversion"/>
  </si>
  <si>
    <t>常山药业</t>
    <phoneticPr fontId="2" type="noConversion"/>
  </si>
  <si>
    <t>300274.SZ</t>
    <phoneticPr fontId="2" type="noConversion"/>
  </si>
  <si>
    <t>阳光电源</t>
    <phoneticPr fontId="2" type="noConversion"/>
  </si>
  <si>
    <t>300308.SZ</t>
    <phoneticPr fontId="2" type="noConversion"/>
  </si>
  <si>
    <t>中际旭创</t>
    <phoneticPr fontId="2" type="noConversion"/>
  </si>
  <si>
    <t>300316.SZ</t>
    <phoneticPr fontId="2" type="noConversion"/>
  </si>
  <si>
    <t>晶盛机电</t>
    <phoneticPr fontId="2" type="noConversion"/>
  </si>
  <si>
    <t>300339.SZ</t>
    <phoneticPr fontId="2" type="noConversion"/>
  </si>
  <si>
    <t>润和软件</t>
    <phoneticPr fontId="2" type="noConversion"/>
  </si>
  <si>
    <t>300346.SZ</t>
    <phoneticPr fontId="2" type="noConversion"/>
  </si>
  <si>
    <t>南大光电</t>
    <phoneticPr fontId="2" type="noConversion"/>
  </si>
  <si>
    <t>300347.SZ</t>
    <phoneticPr fontId="2" type="noConversion"/>
  </si>
  <si>
    <t>泰格医药</t>
    <phoneticPr fontId="2" type="noConversion"/>
  </si>
  <si>
    <t>300373.SZ</t>
    <phoneticPr fontId="2" type="noConversion"/>
  </si>
  <si>
    <t>扬杰科技</t>
    <phoneticPr fontId="2" type="noConversion"/>
  </si>
  <si>
    <t>300394.SZ</t>
    <phoneticPr fontId="2" type="noConversion"/>
  </si>
  <si>
    <t>天孚通信</t>
    <phoneticPr fontId="2" type="noConversion"/>
  </si>
  <si>
    <t>300395.SZ</t>
    <phoneticPr fontId="2" type="noConversion"/>
  </si>
  <si>
    <t>菲利华</t>
    <phoneticPr fontId="2" type="noConversion"/>
  </si>
  <si>
    <t>300408.SZ</t>
    <phoneticPr fontId="2" type="noConversion"/>
  </si>
  <si>
    <t>三环集团</t>
    <phoneticPr fontId="2" type="noConversion"/>
  </si>
  <si>
    <t>300418.SZ</t>
    <phoneticPr fontId="2" type="noConversion"/>
  </si>
  <si>
    <t>昆仑万维</t>
    <phoneticPr fontId="2" type="noConversion"/>
  </si>
  <si>
    <t>300433.SZ</t>
    <phoneticPr fontId="2" type="noConversion"/>
  </si>
  <si>
    <t>蓝思科技</t>
    <phoneticPr fontId="2" type="noConversion"/>
  </si>
  <si>
    <t>300442.SZ</t>
    <phoneticPr fontId="2" type="noConversion"/>
  </si>
  <si>
    <t>润泽科技</t>
    <phoneticPr fontId="2" type="noConversion"/>
  </si>
  <si>
    <t>300450.SZ</t>
    <phoneticPr fontId="2" type="noConversion"/>
  </si>
  <si>
    <t>先导智能</t>
    <phoneticPr fontId="2" type="noConversion"/>
  </si>
  <si>
    <t>300458.SZ</t>
    <phoneticPr fontId="2" type="noConversion"/>
  </si>
  <si>
    <t>全志科技</t>
    <phoneticPr fontId="2" type="noConversion"/>
  </si>
  <si>
    <t>300474.SZ</t>
    <phoneticPr fontId="2" type="noConversion"/>
  </si>
  <si>
    <t>景嘉微</t>
    <phoneticPr fontId="2" type="noConversion"/>
  </si>
  <si>
    <t>300476.SZ</t>
    <phoneticPr fontId="2" type="noConversion"/>
  </si>
  <si>
    <t>胜宏科技</t>
    <phoneticPr fontId="2" type="noConversion"/>
  </si>
  <si>
    <t>300496.SZ</t>
    <phoneticPr fontId="2" type="noConversion"/>
  </si>
  <si>
    <t>中科创达</t>
    <phoneticPr fontId="2" type="noConversion"/>
  </si>
  <si>
    <t>300502.SZ</t>
    <phoneticPr fontId="2" type="noConversion"/>
  </si>
  <si>
    <t>新易盛</t>
    <phoneticPr fontId="2" type="noConversion"/>
  </si>
  <si>
    <t>300548.SZ</t>
    <phoneticPr fontId="2" type="noConversion"/>
  </si>
  <si>
    <t>长芯博创</t>
    <phoneticPr fontId="2" type="noConversion"/>
  </si>
  <si>
    <t>300604.SZ</t>
    <phoneticPr fontId="2" type="noConversion"/>
  </si>
  <si>
    <t>长川科技</t>
    <phoneticPr fontId="2" type="noConversion"/>
  </si>
  <si>
    <t>300724.SZ</t>
    <phoneticPr fontId="2" type="noConversion"/>
  </si>
  <si>
    <t>捷佳伟创</t>
    <phoneticPr fontId="2" type="noConversion"/>
  </si>
  <si>
    <t>300748.SZ</t>
    <phoneticPr fontId="2" type="noConversion"/>
  </si>
  <si>
    <t>金力永磁</t>
    <phoneticPr fontId="2" type="noConversion"/>
  </si>
  <si>
    <t>300750.SZ</t>
    <phoneticPr fontId="2" type="noConversion"/>
  </si>
  <si>
    <t>宁德时代</t>
    <phoneticPr fontId="2" type="noConversion"/>
  </si>
  <si>
    <t>300759.SZ</t>
    <phoneticPr fontId="2" type="noConversion"/>
  </si>
  <si>
    <t>康龙化成</t>
    <phoneticPr fontId="2" type="noConversion"/>
  </si>
  <si>
    <t>300760.SZ</t>
    <phoneticPr fontId="2" type="noConversion"/>
  </si>
  <si>
    <t>迈瑞医疗</t>
    <phoneticPr fontId="2" type="noConversion"/>
  </si>
  <si>
    <t>300763.SZ</t>
    <phoneticPr fontId="2" type="noConversion"/>
  </si>
  <si>
    <t>锦浪科技</t>
    <phoneticPr fontId="2" type="noConversion"/>
  </si>
  <si>
    <t>300782.SZ</t>
    <phoneticPr fontId="2" type="noConversion"/>
  </si>
  <si>
    <t>卓胜微</t>
    <phoneticPr fontId="2" type="noConversion"/>
  </si>
  <si>
    <t>300803.SZ</t>
    <phoneticPr fontId="2" type="noConversion"/>
  </si>
  <si>
    <t>指南针</t>
    <phoneticPr fontId="2" type="noConversion"/>
  </si>
  <si>
    <t>300857.SZ</t>
    <phoneticPr fontId="2" type="noConversion"/>
  </si>
  <si>
    <t>协创数据</t>
    <phoneticPr fontId="2" type="noConversion"/>
  </si>
  <si>
    <t>301236.SZ</t>
    <phoneticPr fontId="2" type="noConversion"/>
  </si>
  <si>
    <t>软通动力</t>
    <phoneticPr fontId="2" type="noConversion"/>
  </si>
  <si>
    <t>301308.SZ</t>
    <phoneticPr fontId="2" type="noConversion"/>
  </si>
  <si>
    <t>江波龙</t>
    <phoneticPr fontId="2" type="noConversion"/>
  </si>
  <si>
    <t>302132.SZ</t>
    <phoneticPr fontId="2" type="noConversion"/>
  </si>
  <si>
    <t>中航成飞</t>
    <phoneticPr fontId="2" type="noConversion"/>
  </si>
  <si>
    <t>数据池名称</t>
    <phoneticPr fontId="14" type="noConversion"/>
  </si>
  <si>
    <t>index</t>
    <phoneticPr fontId="14" type="noConversion"/>
  </si>
  <si>
    <t>300001.SZ</t>
    <phoneticPr fontId="14" type="noConversion"/>
  </si>
  <si>
    <t>特锐德</t>
    <phoneticPr fontId="14" type="noConversion"/>
  </si>
  <si>
    <t>300002.SZ</t>
    <phoneticPr fontId="14" type="noConversion"/>
  </si>
  <si>
    <t>神州泰岳</t>
    <phoneticPr fontId="14" type="noConversion"/>
  </si>
  <si>
    <t>300003.SZ</t>
    <phoneticPr fontId="14" type="noConversion"/>
  </si>
  <si>
    <t>乐普医疗</t>
    <phoneticPr fontId="14" type="noConversion"/>
  </si>
  <si>
    <t>300012.SZ</t>
    <phoneticPr fontId="14" type="noConversion"/>
  </si>
  <si>
    <t>华测检测</t>
    <phoneticPr fontId="14" type="noConversion"/>
  </si>
  <si>
    <t>300014.SZ</t>
    <phoneticPr fontId="14" type="noConversion"/>
  </si>
  <si>
    <t>亿纬锂能</t>
    <phoneticPr fontId="14" type="noConversion"/>
  </si>
  <si>
    <t>300015.SZ</t>
    <phoneticPr fontId="14" type="noConversion"/>
  </si>
  <si>
    <t>爱尔眼科</t>
    <phoneticPr fontId="14" type="noConversion"/>
  </si>
  <si>
    <t>300017.SZ</t>
    <phoneticPr fontId="14" type="noConversion"/>
  </si>
  <si>
    <t>网宿科技</t>
    <phoneticPr fontId="14" type="noConversion"/>
  </si>
  <si>
    <t>300024.SZ</t>
    <phoneticPr fontId="14" type="noConversion"/>
  </si>
  <si>
    <t>机器人</t>
    <phoneticPr fontId="14" type="noConversion"/>
  </si>
  <si>
    <t>300033.SZ</t>
    <phoneticPr fontId="14" type="noConversion"/>
  </si>
  <si>
    <t>同花顺</t>
    <phoneticPr fontId="14" type="noConversion"/>
  </si>
  <si>
    <t>300037.SZ</t>
    <phoneticPr fontId="14" type="noConversion"/>
  </si>
  <si>
    <t>新宙邦</t>
    <phoneticPr fontId="14" type="noConversion"/>
  </si>
  <si>
    <t>300054.SZ</t>
    <phoneticPr fontId="14" type="noConversion"/>
  </si>
  <si>
    <t>鼎龙股份</t>
    <phoneticPr fontId="14" type="noConversion"/>
  </si>
  <si>
    <t>300058.SZ</t>
    <phoneticPr fontId="14" type="noConversion"/>
  </si>
  <si>
    <t>蓝色光标</t>
    <phoneticPr fontId="14" type="noConversion"/>
  </si>
  <si>
    <t>300059.SZ</t>
    <phoneticPr fontId="14" type="noConversion"/>
  </si>
  <si>
    <t>东方财富</t>
    <phoneticPr fontId="14" type="noConversion"/>
  </si>
  <si>
    <t>300073.SZ</t>
    <phoneticPr fontId="14" type="noConversion"/>
  </si>
  <si>
    <t>当升科技</t>
    <phoneticPr fontId="14" type="noConversion"/>
  </si>
  <si>
    <t>300100.SZ</t>
    <phoneticPr fontId="14" type="noConversion"/>
  </si>
  <si>
    <t>双林股份</t>
    <phoneticPr fontId="14" type="noConversion"/>
  </si>
  <si>
    <t>300115.SZ</t>
    <phoneticPr fontId="14" type="noConversion"/>
  </si>
  <si>
    <t>长盈精密</t>
    <phoneticPr fontId="14" type="noConversion"/>
  </si>
  <si>
    <t>300122.SZ</t>
    <phoneticPr fontId="14" type="noConversion"/>
  </si>
  <si>
    <t>智飞生物</t>
    <phoneticPr fontId="14" type="noConversion"/>
  </si>
  <si>
    <t>300124.SZ</t>
    <phoneticPr fontId="14" type="noConversion"/>
  </si>
  <si>
    <t>汇川技术</t>
    <phoneticPr fontId="14" type="noConversion"/>
  </si>
  <si>
    <t>300136.SZ</t>
    <phoneticPr fontId="14" type="noConversion"/>
  </si>
  <si>
    <t>信维通信</t>
    <phoneticPr fontId="14" type="noConversion"/>
  </si>
  <si>
    <t>300142.SZ</t>
    <phoneticPr fontId="14" type="noConversion"/>
  </si>
  <si>
    <t>沃森生物</t>
    <phoneticPr fontId="14" type="noConversion"/>
  </si>
  <si>
    <t>300144.SZ</t>
    <phoneticPr fontId="14" type="noConversion"/>
  </si>
  <si>
    <t>宋城演艺</t>
    <phoneticPr fontId="14" type="noConversion"/>
  </si>
  <si>
    <t>300146.SZ</t>
    <phoneticPr fontId="14" type="noConversion"/>
  </si>
  <si>
    <t>汤臣倍健</t>
    <phoneticPr fontId="14" type="noConversion"/>
  </si>
  <si>
    <t>300207.SZ</t>
    <phoneticPr fontId="14" type="noConversion"/>
  </si>
  <si>
    <t>欣旺达</t>
    <phoneticPr fontId="14" type="noConversion"/>
  </si>
  <si>
    <t>300223.SZ</t>
    <phoneticPr fontId="14" type="noConversion"/>
  </si>
  <si>
    <t>北京君正</t>
    <phoneticPr fontId="14" type="noConversion"/>
  </si>
  <si>
    <t>300251.SZ</t>
    <phoneticPr fontId="14" type="noConversion"/>
  </si>
  <si>
    <t>光线传媒</t>
    <phoneticPr fontId="14" type="noConversion"/>
  </si>
  <si>
    <t>300253.SZ</t>
    <phoneticPr fontId="14" type="noConversion"/>
  </si>
  <si>
    <t>卫宁健康</t>
    <phoneticPr fontId="14" type="noConversion"/>
  </si>
  <si>
    <t>300255.SZ</t>
    <phoneticPr fontId="14" type="noConversion"/>
  </si>
  <si>
    <t>常山药业</t>
    <phoneticPr fontId="14" type="noConversion"/>
  </si>
  <si>
    <t>300274.SZ</t>
    <phoneticPr fontId="14" type="noConversion"/>
  </si>
  <si>
    <t>阳光电源</t>
    <phoneticPr fontId="14" type="noConversion"/>
  </si>
  <si>
    <t>300285.SZ</t>
    <phoneticPr fontId="14" type="noConversion"/>
  </si>
  <si>
    <t>国瓷材料</t>
    <phoneticPr fontId="14" type="noConversion"/>
  </si>
  <si>
    <t>300308.SZ</t>
    <phoneticPr fontId="14" type="noConversion"/>
  </si>
  <si>
    <t>中际旭创</t>
    <phoneticPr fontId="14" type="noConversion"/>
  </si>
  <si>
    <t>300316.SZ</t>
    <phoneticPr fontId="14" type="noConversion"/>
  </si>
  <si>
    <t>晶盛机电</t>
    <phoneticPr fontId="14" type="noConversion"/>
  </si>
  <si>
    <t>300339.SZ</t>
    <phoneticPr fontId="14" type="noConversion"/>
  </si>
  <si>
    <t>润和软件</t>
    <phoneticPr fontId="14" type="noConversion"/>
  </si>
  <si>
    <t>300346.SZ</t>
    <phoneticPr fontId="14" type="noConversion"/>
  </si>
  <si>
    <t>南大光电</t>
    <phoneticPr fontId="14" type="noConversion"/>
  </si>
  <si>
    <t>300347.SZ</t>
    <phoneticPr fontId="14" type="noConversion"/>
  </si>
  <si>
    <t>泰格医药</t>
    <phoneticPr fontId="14" type="noConversion"/>
  </si>
  <si>
    <t>300373.SZ</t>
    <phoneticPr fontId="14" type="noConversion"/>
  </si>
  <si>
    <t>扬杰科技</t>
    <phoneticPr fontId="14" type="noConversion"/>
  </si>
  <si>
    <t>300383.SZ</t>
    <phoneticPr fontId="14" type="noConversion"/>
  </si>
  <si>
    <t>光环新网</t>
    <phoneticPr fontId="14" type="noConversion"/>
  </si>
  <si>
    <t>300394.SZ</t>
    <phoneticPr fontId="14" type="noConversion"/>
  </si>
  <si>
    <t>天孚通信</t>
    <phoneticPr fontId="14" type="noConversion"/>
  </si>
  <si>
    <t>300395.SZ</t>
    <phoneticPr fontId="14" type="noConversion"/>
  </si>
  <si>
    <t>菲利华</t>
    <phoneticPr fontId="14" type="noConversion"/>
  </si>
  <si>
    <t>300408.SZ</t>
    <phoneticPr fontId="14" type="noConversion"/>
  </si>
  <si>
    <t>三环集团</t>
    <phoneticPr fontId="14" type="noConversion"/>
  </si>
  <si>
    <t>300413.SZ</t>
    <phoneticPr fontId="14" type="noConversion"/>
  </si>
  <si>
    <t>芒果超媒</t>
    <phoneticPr fontId="14" type="noConversion"/>
  </si>
  <si>
    <t>300418.SZ</t>
    <phoneticPr fontId="14" type="noConversion"/>
  </si>
  <si>
    <t>昆仑万维</t>
    <phoneticPr fontId="14" type="noConversion"/>
  </si>
  <si>
    <t>300432.SZ</t>
    <phoneticPr fontId="14" type="noConversion"/>
  </si>
  <si>
    <t>富临精工</t>
    <phoneticPr fontId="14" type="noConversion"/>
  </si>
  <si>
    <t>300433.SZ</t>
    <phoneticPr fontId="14" type="noConversion"/>
  </si>
  <si>
    <t>蓝思科技</t>
    <phoneticPr fontId="14" type="noConversion"/>
  </si>
  <si>
    <t>300442.SZ</t>
    <phoneticPr fontId="14" type="noConversion"/>
  </si>
  <si>
    <t>润泽科技</t>
    <phoneticPr fontId="14" type="noConversion"/>
  </si>
  <si>
    <t>300450.SZ</t>
    <phoneticPr fontId="14" type="noConversion"/>
  </si>
  <si>
    <t>先导智能</t>
    <phoneticPr fontId="14" type="noConversion"/>
  </si>
  <si>
    <t>300454.SZ</t>
    <phoneticPr fontId="14" type="noConversion"/>
  </si>
  <si>
    <t>深信服</t>
    <phoneticPr fontId="14" type="noConversion"/>
  </si>
  <si>
    <t>300458.SZ</t>
    <phoneticPr fontId="14" type="noConversion"/>
  </si>
  <si>
    <t>全志科技</t>
    <phoneticPr fontId="14" type="noConversion"/>
  </si>
  <si>
    <t>300474.SZ</t>
    <phoneticPr fontId="14" type="noConversion"/>
  </si>
  <si>
    <t>景嘉微</t>
    <phoneticPr fontId="14" type="noConversion"/>
  </si>
  <si>
    <t>300476.SZ</t>
    <phoneticPr fontId="14" type="noConversion"/>
  </si>
  <si>
    <t>胜宏科技</t>
    <phoneticPr fontId="14" type="noConversion"/>
  </si>
  <si>
    <t>300487.SZ</t>
    <phoneticPr fontId="14" type="noConversion"/>
  </si>
  <si>
    <t>蓝晓科技</t>
    <phoneticPr fontId="14" type="noConversion"/>
  </si>
  <si>
    <t>300496.SZ</t>
    <phoneticPr fontId="14" type="noConversion"/>
  </si>
  <si>
    <t>中科创达</t>
    <phoneticPr fontId="14" type="noConversion"/>
  </si>
  <si>
    <t>300498.SZ</t>
    <phoneticPr fontId="14" type="noConversion"/>
  </si>
  <si>
    <t>温氏股份</t>
    <phoneticPr fontId="14" type="noConversion"/>
  </si>
  <si>
    <t>300502.SZ</t>
    <phoneticPr fontId="14" type="noConversion"/>
  </si>
  <si>
    <t>新易盛</t>
    <phoneticPr fontId="14" type="noConversion"/>
  </si>
  <si>
    <t>300529.SZ</t>
    <phoneticPr fontId="14" type="noConversion"/>
  </si>
  <si>
    <t>健帆生物</t>
    <phoneticPr fontId="14" type="noConversion"/>
  </si>
  <si>
    <t>300548.SZ</t>
    <phoneticPr fontId="14" type="noConversion"/>
  </si>
  <si>
    <t>长芯博创</t>
    <phoneticPr fontId="14" type="noConversion"/>
  </si>
  <si>
    <t>300558.SZ</t>
    <phoneticPr fontId="14" type="noConversion"/>
  </si>
  <si>
    <t>贝达药业</t>
    <phoneticPr fontId="14" type="noConversion"/>
  </si>
  <si>
    <t>300567.SZ</t>
    <phoneticPr fontId="14" type="noConversion"/>
  </si>
  <si>
    <t>精测电子</t>
    <phoneticPr fontId="14" type="noConversion"/>
  </si>
  <si>
    <t>300601.SZ</t>
    <phoneticPr fontId="14" type="noConversion"/>
  </si>
  <si>
    <t>康泰生物</t>
    <phoneticPr fontId="14" type="noConversion"/>
  </si>
  <si>
    <t>300604.SZ</t>
    <phoneticPr fontId="14" type="noConversion"/>
  </si>
  <si>
    <t>长川科技</t>
    <phoneticPr fontId="14" type="noConversion"/>
  </si>
  <si>
    <t>300627.SZ</t>
    <phoneticPr fontId="14" type="noConversion"/>
  </si>
  <si>
    <t>华测导航</t>
    <phoneticPr fontId="14" type="noConversion"/>
  </si>
  <si>
    <t>300628.SZ</t>
    <phoneticPr fontId="14" type="noConversion"/>
  </si>
  <si>
    <t>亿联网络</t>
    <phoneticPr fontId="14" type="noConversion"/>
  </si>
  <si>
    <t>300661.SZ</t>
    <phoneticPr fontId="14" type="noConversion"/>
  </si>
  <si>
    <t>圣邦股份</t>
    <phoneticPr fontId="14" type="noConversion"/>
  </si>
  <si>
    <t>300666.SZ</t>
    <phoneticPr fontId="14" type="noConversion"/>
  </si>
  <si>
    <t>江丰电子</t>
    <phoneticPr fontId="14" type="noConversion"/>
  </si>
  <si>
    <t>300676.SZ</t>
    <phoneticPr fontId="14" type="noConversion"/>
  </si>
  <si>
    <t>华大基因</t>
    <phoneticPr fontId="14" type="noConversion"/>
  </si>
  <si>
    <t>300677.SZ</t>
    <phoneticPr fontId="14" type="noConversion"/>
  </si>
  <si>
    <t>英科医疗</t>
    <phoneticPr fontId="14" type="noConversion"/>
  </si>
  <si>
    <t>300679.SZ</t>
    <phoneticPr fontId="14" type="noConversion"/>
  </si>
  <si>
    <t>电连技术</t>
    <phoneticPr fontId="14" type="noConversion"/>
  </si>
  <si>
    <t>300699.SZ</t>
    <phoneticPr fontId="14" type="noConversion"/>
  </si>
  <si>
    <t>光威复材</t>
    <phoneticPr fontId="14" type="noConversion"/>
  </si>
  <si>
    <t>300718.SZ</t>
    <phoneticPr fontId="14" type="noConversion"/>
  </si>
  <si>
    <t>长盛轴承</t>
    <phoneticPr fontId="14" type="noConversion"/>
  </si>
  <si>
    <t>300724.SZ</t>
    <phoneticPr fontId="14" type="noConversion"/>
  </si>
  <si>
    <t>捷佳伟创</t>
    <phoneticPr fontId="14" type="noConversion"/>
  </si>
  <si>
    <t>300735.SZ</t>
    <phoneticPr fontId="14" type="noConversion"/>
  </si>
  <si>
    <t>光弘科技</t>
    <phoneticPr fontId="14" type="noConversion"/>
  </si>
  <si>
    <t>300748.SZ</t>
    <phoneticPr fontId="14" type="noConversion"/>
  </si>
  <si>
    <t>金力永磁</t>
    <phoneticPr fontId="14" type="noConversion"/>
  </si>
  <si>
    <t>300750.SZ</t>
    <phoneticPr fontId="14" type="noConversion"/>
  </si>
  <si>
    <t>宁德时代</t>
    <phoneticPr fontId="14" type="noConversion"/>
  </si>
  <si>
    <t>300751.SZ</t>
    <phoneticPr fontId="14" type="noConversion"/>
  </si>
  <si>
    <t>迈为股份</t>
    <phoneticPr fontId="14" type="noConversion"/>
  </si>
  <si>
    <t>300759.SZ</t>
    <phoneticPr fontId="14" type="noConversion"/>
  </si>
  <si>
    <t>康龙化成</t>
    <phoneticPr fontId="14" type="noConversion"/>
  </si>
  <si>
    <t>300760.SZ</t>
    <phoneticPr fontId="14" type="noConversion"/>
  </si>
  <si>
    <t>迈瑞医疗</t>
    <phoneticPr fontId="14" type="noConversion"/>
  </si>
  <si>
    <t>300763.SZ</t>
    <phoneticPr fontId="14" type="noConversion"/>
  </si>
  <si>
    <t>锦浪科技</t>
    <phoneticPr fontId="14" type="noConversion"/>
  </si>
  <si>
    <t>300765.SZ</t>
    <phoneticPr fontId="14" type="noConversion"/>
  </si>
  <si>
    <t>新诺威</t>
    <phoneticPr fontId="14" type="noConversion"/>
  </si>
  <si>
    <t>300782.SZ</t>
    <phoneticPr fontId="14" type="noConversion"/>
  </si>
  <si>
    <t>卓胜微</t>
    <phoneticPr fontId="14" type="noConversion"/>
  </si>
  <si>
    <t>300803.SZ</t>
    <phoneticPr fontId="14" type="noConversion"/>
  </si>
  <si>
    <t>指南针</t>
    <phoneticPr fontId="14" type="noConversion"/>
  </si>
  <si>
    <t>300832.SZ</t>
    <phoneticPr fontId="14" type="noConversion"/>
  </si>
  <si>
    <t>新产业</t>
    <phoneticPr fontId="14" type="noConversion"/>
  </si>
  <si>
    <t>300857.SZ</t>
    <phoneticPr fontId="14" type="noConversion"/>
  </si>
  <si>
    <t>协创数据</t>
    <phoneticPr fontId="14" type="noConversion"/>
  </si>
  <si>
    <t>300866.SZ</t>
    <phoneticPr fontId="14" type="noConversion"/>
  </si>
  <si>
    <t>安克创新</t>
    <phoneticPr fontId="14" type="noConversion"/>
  </si>
  <si>
    <t>300888.SZ</t>
    <phoneticPr fontId="14" type="noConversion"/>
  </si>
  <si>
    <t>稳健医疗</t>
    <phoneticPr fontId="14" type="noConversion"/>
  </si>
  <si>
    <t>300896.SZ</t>
    <phoneticPr fontId="14" type="noConversion"/>
  </si>
  <si>
    <t>爱美客</t>
    <phoneticPr fontId="14" type="noConversion"/>
  </si>
  <si>
    <t>300919.SZ</t>
    <phoneticPr fontId="14" type="noConversion"/>
  </si>
  <si>
    <t>中伟新材</t>
    <phoneticPr fontId="14" type="noConversion"/>
  </si>
  <si>
    <t>300957.SZ</t>
    <phoneticPr fontId="14" type="noConversion"/>
  </si>
  <si>
    <t>贝泰妮</t>
    <phoneticPr fontId="14" type="noConversion"/>
  </si>
  <si>
    <t>300972.SZ</t>
    <phoneticPr fontId="14" type="noConversion"/>
  </si>
  <si>
    <t>万辰集团</t>
    <phoneticPr fontId="14" type="noConversion"/>
  </si>
  <si>
    <t>300979.SZ</t>
    <phoneticPr fontId="14" type="noConversion"/>
  </si>
  <si>
    <t>华利集团</t>
    <phoneticPr fontId="14" type="noConversion"/>
  </si>
  <si>
    <t>300999.SZ</t>
    <phoneticPr fontId="14" type="noConversion"/>
  </si>
  <si>
    <t>金龙鱼</t>
    <phoneticPr fontId="14" type="noConversion"/>
  </si>
  <si>
    <t>301165.SZ</t>
    <phoneticPr fontId="14" type="noConversion"/>
  </si>
  <si>
    <t>锐捷网络</t>
    <phoneticPr fontId="14" type="noConversion"/>
  </si>
  <si>
    <t>301200.SZ</t>
    <phoneticPr fontId="14" type="noConversion"/>
  </si>
  <si>
    <t>大族数控</t>
    <phoneticPr fontId="14" type="noConversion"/>
  </si>
  <si>
    <t>301236.SZ</t>
    <phoneticPr fontId="14" type="noConversion"/>
  </si>
  <si>
    <t>软通动力</t>
    <phoneticPr fontId="14" type="noConversion"/>
  </si>
  <si>
    <t>301269.SZ</t>
    <phoneticPr fontId="14" type="noConversion"/>
  </si>
  <si>
    <t>华大九天</t>
    <phoneticPr fontId="14" type="noConversion"/>
  </si>
  <si>
    <t>301301.SZ</t>
    <phoneticPr fontId="14" type="noConversion"/>
  </si>
  <si>
    <t>川宁生物</t>
    <phoneticPr fontId="14" type="noConversion"/>
  </si>
  <si>
    <t>301308.SZ</t>
    <phoneticPr fontId="14" type="noConversion"/>
  </si>
  <si>
    <t>江波龙</t>
    <phoneticPr fontId="14" type="noConversion"/>
  </si>
  <si>
    <t>301358.SZ</t>
    <phoneticPr fontId="14" type="noConversion"/>
  </si>
  <si>
    <t>湖南裕能</t>
    <phoneticPr fontId="14" type="noConversion"/>
  </si>
  <si>
    <t>301498.SZ</t>
    <phoneticPr fontId="14" type="noConversion"/>
  </si>
  <si>
    <t>乖宝宠物</t>
    <phoneticPr fontId="14" type="noConversion"/>
  </si>
  <si>
    <t>301536.SZ</t>
    <phoneticPr fontId="14" type="noConversion"/>
  </si>
  <si>
    <t>星宸科技</t>
    <phoneticPr fontId="14" type="noConversion"/>
  </si>
  <si>
    <t>301611.SZ</t>
    <phoneticPr fontId="14" type="noConversion"/>
  </si>
  <si>
    <t>珂玛科技</t>
    <phoneticPr fontId="14" type="noConversion"/>
  </si>
  <si>
    <t>302132.SZ</t>
    <phoneticPr fontId="14" type="noConversion"/>
  </si>
  <si>
    <t>中航成飞</t>
    <phoneticPr fontId="14" type="noConversion"/>
  </si>
  <si>
    <t>index</t>
    <phoneticPr fontId="2" type="noConversion"/>
  </si>
  <si>
    <t>399673.SZ</t>
    <phoneticPr fontId="2" type="noConversion"/>
  </si>
  <si>
    <t>日期</t>
    <phoneticPr fontId="2" type="noConversion"/>
  </si>
  <si>
    <t>同花顺代码</t>
    <phoneticPr fontId="2" type="noConversion"/>
  </si>
  <si>
    <t>证券名称</t>
    <phoneticPr fontId="2" type="noConversion"/>
  </si>
  <si>
    <t>最新权重</t>
    <phoneticPr fontId="2" type="noConversion"/>
  </si>
  <si>
    <t>300002.SZ</t>
    <phoneticPr fontId="2" type="noConversion"/>
  </si>
  <si>
    <t>神州泰岳</t>
    <phoneticPr fontId="2" type="noConversion"/>
  </si>
  <si>
    <t>亿纬锂能</t>
    <phoneticPr fontId="2" type="noConversion"/>
  </si>
  <si>
    <t>300015.SZ</t>
    <phoneticPr fontId="2" type="noConversion"/>
  </si>
  <si>
    <t>爱尔眼科</t>
    <phoneticPr fontId="2" type="noConversion"/>
  </si>
  <si>
    <t>300017.SZ</t>
    <phoneticPr fontId="2" type="noConversion"/>
  </si>
  <si>
    <t>蓝色光标</t>
    <phoneticPr fontId="2" type="noConversion"/>
  </si>
  <si>
    <t>300115.SZ</t>
    <phoneticPr fontId="2" type="noConversion"/>
  </si>
  <si>
    <t>长盈精密</t>
    <phoneticPr fontId="2" type="noConversion"/>
  </si>
  <si>
    <t>300124.SZ</t>
    <phoneticPr fontId="2" type="noConversion"/>
  </si>
  <si>
    <t>300251.SZ</t>
    <phoneticPr fontId="2" type="noConversion"/>
  </si>
  <si>
    <t>300255.SZ</t>
    <phoneticPr fontId="2" type="noConversion"/>
  </si>
  <si>
    <t>常山药业</t>
    <phoneticPr fontId="2" type="noConversion"/>
  </si>
  <si>
    <t>润和软件</t>
    <phoneticPr fontId="2" type="noConversion"/>
  </si>
  <si>
    <t>300347.SZ</t>
    <phoneticPr fontId="2" type="noConversion"/>
  </si>
  <si>
    <t>扬杰科技</t>
    <phoneticPr fontId="2" type="noConversion"/>
  </si>
  <si>
    <t>300408.SZ</t>
    <phoneticPr fontId="2" type="noConversion"/>
  </si>
  <si>
    <t>300724.SZ</t>
    <phoneticPr fontId="2" type="noConversion"/>
  </si>
  <si>
    <t>卓胜微</t>
    <phoneticPr fontId="2" type="noConversion"/>
  </si>
  <si>
    <t>指南针</t>
    <phoneticPr fontId="2" type="noConversion"/>
  </si>
  <si>
    <t>江波龙</t>
    <phoneticPr fontId="2" type="noConversion"/>
  </si>
  <si>
    <t>index</t>
    <phoneticPr fontId="14" type="noConversion"/>
  </si>
  <si>
    <t>000688.SH</t>
    <phoneticPr fontId="14" type="noConversion"/>
  </si>
  <si>
    <t>同花顺代码</t>
    <phoneticPr fontId="14" type="noConversion"/>
  </si>
  <si>
    <t>证券名称</t>
    <phoneticPr fontId="14" type="noConversion"/>
  </si>
  <si>
    <t>最新权重</t>
    <phoneticPr fontId="14" type="noConversion"/>
  </si>
  <si>
    <t>688008.SH</t>
    <phoneticPr fontId="14" type="noConversion"/>
  </si>
  <si>
    <t>688009.SH</t>
    <phoneticPr fontId="14" type="noConversion"/>
  </si>
  <si>
    <t>中国通号</t>
    <phoneticPr fontId="14" type="noConversion"/>
  </si>
  <si>
    <t>688012.SH</t>
    <phoneticPr fontId="14" type="noConversion"/>
  </si>
  <si>
    <t>中微公司</t>
    <phoneticPr fontId="14" type="noConversion"/>
  </si>
  <si>
    <t>688027.SH</t>
    <phoneticPr fontId="14" type="noConversion"/>
  </si>
  <si>
    <t>国盾量子</t>
    <phoneticPr fontId="14" type="noConversion"/>
  </si>
  <si>
    <t>688036.SH</t>
    <phoneticPr fontId="14" type="noConversion"/>
  </si>
  <si>
    <t>传音控股</t>
    <phoneticPr fontId="14" type="noConversion"/>
  </si>
  <si>
    <t>688041.SH</t>
    <phoneticPr fontId="14" type="noConversion"/>
  </si>
  <si>
    <t>海光信息</t>
    <phoneticPr fontId="14" type="noConversion"/>
  </si>
  <si>
    <t>688047.SH</t>
    <phoneticPr fontId="14" type="noConversion"/>
  </si>
  <si>
    <t>龙芯中科</t>
    <phoneticPr fontId="14" type="noConversion"/>
  </si>
  <si>
    <t>688065.SH</t>
    <phoneticPr fontId="14" type="noConversion"/>
  </si>
  <si>
    <t>凯赛生物</t>
    <phoneticPr fontId="14" type="noConversion"/>
  </si>
  <si>
    <t>688072.SH</t>
    <phoneticPr fontId="14" type="noConversion"/>
  </si>
  <si>
    <t>拓荆科技</t>
    <phoneticPr fontId="14" type="noConversion"/>
  </si>
  <si>
    <t>盛美上海</t>
    <phoneticPr fontId="14" type="noConversion"/>
  </si>
  <si>
    <t>688099.SH</t>
    <phoneticPr fontId="14" type="noConversion"/>
  </si>
  <si>
    <t>晶晨股份</t>
    <phoneticPr fontId="14" type="noConversion"/>
  </si>
  <si>
    <t>688111.SH</t>
    <phoneticPr fontId="14" type="noConversion"/>
  </si>
  <si>
    <t>金山办公</t>
    <phoneticPr fontId="14" type="noConversion"/>
  </si>
  <si>
    <t>688114.SH</t>
    <phoneticPr fontId="14" type="noConversion"/>
  </si>
  <si>
    <t>华大智造</t>
    <phoneticPr fontId="14" type="noConversion"/>
  </si>
  <si>
    <t>688120.SH</t>
    <phoneticPr fontId="14" type="noConversion"/>
  </si>
  <si>
    <t>华海清科</t>
    <phoneticPr fontId="14" type="noConversion"/>
  </si>
  <si>
    <t>688122.SH</t>
    <phoneticPr fontId="14" type="noConversion"/>
  </si>
  <si>
    <t>西部超导</t>
    <phoneticPr fontId="14" type="noConversion"/>
  </si>
  <si>
    <t>688126.SH</t>
    <phoneticPr fontId="14" type="noConversion"/>
  </si>
  <si>
    <t>沪硅产业</t>
    <phoneticPr fontId="14" type="noConversion"/>
  </si>
  <si>
    <t>688169.SH</t>
    <phoneticPr fontId="14" type="noConversion"/>
  </si>
  <si>
    <t>石头科技</t>
    <phoneticPr fontId="14" type="noConversion"/>
  </si>
  <si>
    <t>688187.SH</t>
    <phoneticPr fontId="14" type="noConversion"/>
  </si>
  <si>
    <t>时代电气</t>
    <phoneticPr fontId="14" type="noConversion"/>
  </si>
  <si>
    <t>688188.SH</t>
    <phoneticPr fontId="14" type="noConversion"/>
  </si>
  <si>
    <t>柏楚电子</t>
    <phoneticPr fontId="14" type="noConversion"/>
  </si>
  <si>
    <t>688213.SH</t>
    <phoneticPr fontId="14" type="noConversion"/>
  </si>
  <si>
    <t>思特威</t>
    <phoneticPr fontId="14" type="noConversion"/>
  </si>
  <si>
    <t>688220.SH</t>
    <phoneticPr fontId="14" type="noConversion"/>
  </si>
  <si>
    <t>翱捷科技</t>
    <phoneticPr fontId="14" type="noConversion"/>
  </si>
  <si>
    <t>688223.SH</t>
    <phoneticPr fontId="14" type="noConversion"/>
  </si>
  <si>
    <t>晶科能源</t>
    <phoneticPr fontId="14" type="noConversion"/>
  </si>
  <si>
    <t>天岳先进</t>
    <phoneticPr fontId="14" type="noConversion"/>
  </si>
  <si>
    <t>688249.SH</t>
    <phoneticPr fontId="14" type="noConversion"/>
  </si>
  <si>
    <t>晶合集成</t>
    <phoneticPr fontId="14" type="noConversion"/>
  </si>
  <si>
    <t>688256.SH</t>
    <phoneticPr fontId="14" type="noConversion"/>
  </si>
  <si>
    <t>寒武纪</t>
    <phoneticPr fontId="14" type="noConversion"/>
  </si>
  <si>
    <t>联影医疗</t>
    <phoneticPr fontId="14" type="noConversion"/>
  </si>
  <si>
    <t>688278.SH</t>
    <phoneticPr fontId="14" type="noConversion"/>
  </si>
  <si>
    <t>特宝生物</t>
    <phoneticPr fontId="14" type="noConversion"/>
  </si>
  <si>
    <t>688297.SH</t>
    <phoneticPr fontId="14" type="noConversion"/>
  </si>
  <si>
    <t>中无人机</t>
    <phoneticPr fontId="14" type="noConversion"/>
  </si>
  <si>
    <t>大全能源</t>
    <phoneticPr fontId="14" type="noConversion"/>
  </si>
  <si>
    <t>688349.SH</t>
    <phoneticPr fontId="14" type="noConversion"/>
  </si>
  <si>
    <t>三一重能</t>
    <phoneticPr fontId="14" type="noConversion"/>
  </si>
  <si>
    <t>688361.SH</t>
    <phoneticPr fontId="14" type="noConversion"/>
  </si>
  <si>
    <t>688375.SH</t>
    <phoneticPr fontId="14" type="noConversion"/>
  </si>
  <si>
    <t>国博电子</t>
    <phoneticPr fontId="14" type="noConversion"/>
  </si>
  <si>
    <t>华润微</t>
    <phoneticPr fontId="14" type="noConversion"/>
  </si>
  <si>
    <t>芯联集成</t>
    <phoneticPr fontId="14" type="noConversion"/>
  </si>
  <si>
    <t>688472.SH</t>
    <phoneticPr fontId="14" type="noConversion"/>
  </si>
  <si>
    <t>688506.SH</t>
    <phoneticPr fontId="14" type="noConversion"/>
  </si>
  <si>
    <t>百利天恒</t>
    <phoneticPr fontId="14" type="noConversion"/>
  </si>
  <si>
    <t>688521.SH</t>
    <phoneticPr fontId="14" type="noConversion"/>
  </si>
  <si>
    <t>芯原股份</t>
    <phoneticPr fontId="14" type="noConversion"/>
  </si>
  <si>
    <t>佰维存储</t>
    <phoneticPr fontId="14" type="noConversion"/>
  </si>
  <si>
    <t>688538.SH</t>
    <phoneticPr fontId="14" type="noConversion"/>
  </si>
  <si>
    <t>和辉光电</t>
    <phoneticPr fontId="14" type="noConversion"/>
  </si>
  <si>
    <t>688568.SH</t>
    <phoneticPr fontId="14" type="noConversion"/>
  </si>
  <si>
    <t>中科星图</t>
    <phoneticPr fontId="14" type="noConversion"/>
  </si>
  <si>
    <t>688578.SH</t>
    <phoneticPr fontId="14" type="noConversion"/>
  </si>
  <si>
    <t>艾力斯</t>
    <phoneticPr fontId="14" type="noConversion"/>
  </si>
  <si>
    <t>688599.SH</t>
    <phoneticPr fontId="14" type="noConversion"/>
  </si>
  <si>
    <t>天合光能</t>
    <phoneticPr fontId="14" type="noConversion"/>
  </si>
  <si>
    <t>688608.SH</t>
    <phoneticPr fontId="14" type="noConversion"/>
  </si>
  <si>
    <t>恒玄科技</t>
    <phoneticPr fontId="14" type="noConversion"/>
  </si>
  <si>
    <t>688617.SH</t>
    <phoneticPr fontId="14" type="noConversion"/>
  </si>
  <si>
    <t>惠泰医疗</t>
    <phoneticPr fontId="14" type="noConversion"/>
  </si>
  <si>
    <t>688702.SH</t>
    <phoneticPr fontId="14" type="noConversion"/>
  </si>
  <si>
    <t>盛科通信</t>
    <phoneticPr fontId="14" type="noConversion"/>
  </si>
  <si>
    <t>688728.SH</t>
    <phoneticPr fontId="14" type="noConversion"/>
  </si>
  <si>
    <t>格科微</t>
    <phoneticPr fontId="14" type="noConversion"/>
  </si>
  <si>
    <t>688777.SH</t>
    <phoneticPr fontId="14" type="noConversion"/>
  </si>
  <si>
    <t>中控技术</t>
    <phoneticPr fontId="14" type="noConversion"/>
  </si>
  <si>
    <t>688981.SH</t>
    <phoneticPr fontId="14" type="noConversion"/>
  </si>
  <si>
    <t>中芯国际</t>
    <phoneticPr fontId="14" type="noConversion"/>
  </si>
  <si>
    <t>689009.SH</t>
    <phoneticPr fontId="14" type="noConversion"/>
  </si>
  <si>
    <t>九号公司</t>
    <phoneticPr fontId="14" type="noConversion"/>
  </si>
  <si>
    <t>证券名称</t>
    <phoneticPr fontId="14" type="noConversion"/>
  </si>
  <si>
    <t>000001.SZ</t>
    <phoneticPr fontId="14" type="noConversion"/>
  </si>
  <si>
    <t>000002.SZ</t>
    <phoneticPr fontId="14" type="noConversion"/>
  </si>
  <si>
    <t>万科A</t>
    <phoneticPr fontId="14" type="noConversion"/>
  </si>
  <si>
    <t>000063.SZ</t>
    <phoneticPr fontId="14" type="noConversion"/>
  </si>
  <si>
    <t>中兴通讯</t>
    <phoneticPr fontId="14" type="noConversion"/>
  </si>
  <si>
    <t>000100.SZ</t>
    <phoneticPr fontId="14" type="noConversion"/>
  </si>
  <si>
    <t>TCL科技</t>
    <phoneticPr fontId="14" type="noConversion"/>
  </si>
  <si>
    <t>000157.SZ</t>
    <phoneticPr fontId="14" type="noConversion"/>
  </si>
  <si>
    <t>中联重科</t>
    <phoneticPr fontId="14" type="noConversion"/>
  </si>
  <si>
    <t>申万宏源</t>
    <phoneticPr fontId="14" type="noConversion"/>
  </si>
  <si>
    <t>000301.SZ</t>
    <phoneticPr fontId="14" type="noConversion"/>
  </si>
  <si>
    <t>东方盛虹</t>
    <phoneticPr fontId="14" type="noConversion"/>
  </si>
  <si>
    <t>000333.SZ</t>
    <phoneticPr fontId="14" type="noConversion"/>
  </si>
  <si>
    <t>美的集团</t>
    <phoneticPr fontId="14" type="noConversion"/>
  </si>
  <si>
    <t>000338.SZ</t>
    <phoneticPr fontId="14" type="noConversion"/>
  </si>
  <si>
    <t>潍柴动力</t>
    <phoneticPr fontId="14" type="noConversion"/>
  </si>
  <si>
    <t>000408.SZ</t>
    <phoneticPr fontId="14" type="noConversion"/>
  </si>
  <si>
    <t>藏格矿业</t>
    <phoneticPr fontId="14" type="noConversion"/>
  </si>
  <si>
    <t>000425.SZ</t>
    <phoneticPr fontId="14" type="noConversion"/>
  </si>
  <si>
    <t>徐工机械</t>
    <phoneticPr fontId="14" type="noConversion"/>
  </si>
  <si>
    <t>000538.SZ</t>
    <phoneticPr fontId="14" type="noConversion"/>
  </si>
  <si>
    <t>云南白药</t>
    <phoneticPr fontId="14" type="noConversion"/>
  </si>
  <si>
    <t>000568.SZ</t>
    <phoneticPr fontId="14" type="noConversion"/>
  </si>
  <si>
    <t>泸州老窖</t>
    <phoneticPr fontId="14" type="noConversion"/>
  </si>
  <si>
    <t>000596.SZ</t>
    <phoneticPr fontId="14" type="noConversion"/>
  </si>
  <si>
    <t>古井贡酒</t>
    <phoneticPr fontId="14" type="noConversion"/>
  </si>
  <si>
    <t>000617.SZ</t>
    <phoneticPr fontId="14" type="noConversion"/>
  </si>
  <si>
    <t>中油资本</t>
    <phoneticPr fontId="14" type="noConversion"/>
  </si>
  <si>
    <t>000625.SZ</t>
    <phoneticPr fontId="14" type="noConversion"/>
  </si>
  <si>
    <t>长安汽车</t>
    <phoneticPr fontId="14" type="noConversion"/>
  </si>
  <si>
    <t>000630.SZ</t>
    <phoneticPr fontId="14" type="noConversion"/>
  </si>
  <si>
    <t>铜陵有色</t>
    <phoneticPr fontId="14" type="noConversion"/>
  </si>
  <si>
    <t>000651.SZ</t>
    <phoneticPr fontId="14" type="noConversion"/>
  </si>
  <si>
    <t>格力电器</t>
    <phoneticPr fontId="14" type="noConversion"/>
  </si>
  <si>
    <t>000661.SZ</t>
    <phoneticPr fontId="14" type="noConversion"/>
  </si>
  <si>
    <t>长春高新</t>
    <phoneticPr fontId="14" type="noConversion"/>
  </si>
  <si>
    <t>000708.SZ</t>
    <phoneticPr fontId="14" type="noConversion"/>
  </si>
  <si>
    <t>中信特钢</t>
    <phoneticPr fontId="14" type="noConversion"/>
  </si>
  <si>
    <t>000725.SZ</t>
    <phoneticPr fontId="14" type="noConversion"/>
  </si>
  <si>
    <t>京东方A</t>
    <phoneticPr fontId="14" type="noConversion"/>
  </si>
  <si>
    <t>000768.SZ</t>
    <phoneticPr fontId="14" type="noConversion"/>
  </si>
  <si>
    <t>中航西飞</t>
    <phoneticPr fontId="14" type="noConversion"/>
  </si>
  <si>
    <t>000776.SZ</t>
    <phoneticPr fontId="14" type="noConversion"/>
  </si>
  <si>
    <t>广发证券</t>
    <phoneticPr fontId="14" type="noConversion"/>
  </si>
  <si>
    <t>000786.SZ</t>
    <phoneticPr fontId="14" type="noConversion"/>
  </si>
  <si>
    <t>北新建材</t>
    <phoneticPr fontId="14" type="noConversion"/>
  </si>
  <si>
    <t>000792.SZ</t>
    <phoneticPr fontId="14" type="noConversion"/>
  </si>
  <si>
    <t>盐湖股份</t>
    <phoneticPr fontId="14" type="noConversion"/>
  </si>
  <si>
    <t>000807.SZ</t>
    <phoneticPr fontId="14" type="noConversion"/>
  </si>
  <si>
    <t>云铝股份</t>
    <phoneticPr fontId="14" type="noConversion"/>
  </si>
  <si>
    <t>000858.SZ</t>
    <phoneticPr fontId="14" type="noConversion"/>
  </si>
  <si>
    <t>五粮液</t>
    <phoneticPr fontId="14" type="noConversion"/>
  </si>
  <si>
    <t>000876.SZ</t>
    <phoneticPr fontId="14" type="noConversion"/>
  </si>
  <si>
    <t>新希望</t>
    <phoneticPr fontId="14" type="noConversion"/>
  </si>
  <si>
    <t>000895.SZ</t>
    <phoneticPr fontId="14" type="noConversion"/>
  </si>
  <si>
    <t>双汇发展</t>
    <phoneticPr fontId="14" type="noConversion"/>
  </si>
  <si>
    <t>000938.SZ</t>
    <phoneticPr fontId="14" type="noConversion"/>
  </si>
  <si>
    <t>紫光股份</t>
    <phoneticPr fontId="14" type="noConversion"/>
  </si>
  <si>
    <t>000963.SZ</t>
    <phoneticPr fontId="14" type="noConversion"/>
  </si>
  <si>
    <t>华东医药</t>
    <phoneticPr fontId="14" type="noConversion"/>
  </si>
  <si>
    <t>000975.SZ</t>
    <phoneticPr fontId="14" type="noConversion"/>
  </si>
  <si>
    <t>山金国际</t>
    <phoneticPr fontId="14" type="noConversion"/>
  </si>
  <si>
    <t>000977.SZ</t>
    <phoneticPr fontId="14" type="noConversion"/>
  </si>
  <si>
    <t>浪潮信息</t>
    <phoneticPr fontId="14" type="noConversion"/>
  </si>
  <si>
    <t>000983.SZ</t>
    <phoneticPr fontId="14" type="noConversion"/>
  </si>
  <si>
    <t>山西焦煤</t>
    <phoneticPr fontId="14" type="noConversion"/>
  </si>
  <si>
    <t>000999.SZ</t>
    <phoneticPr fontId="14" type="noConversion"/>
  </si>
  <si>
    <t>华润三九</t>
    <phoneticPr fontId="14" type="noConversion"/>
  </si>
  <si>
    <t>001391.SZ</t>
    <phoneticPr fontId="14" type="noConversion"/>
  </si>
  <si>
    <t>国货航</t>
    <phoneticPr fontId="14" type="noConversion"/>
  </si>
  <si>
    <t>001965.SZ</t>
    <phoneticPr fontId="14" type="noConversion"/>
  </si>
  <si>
    <t>招商公路</t>
    <phoneticPr fontId="14" type="noConversion"/>
  </si>
  <si>
    <t>001979.SZ</t>
    <phoneticPr fontId="14" type="noConversion"/>
  </si>
  <si>
    <t>招商蛇口</t>
    <phoneticPr fontId="14" type="noConversion"/>
  </si>
  <si>
    <t>002001.SZ</t>
    <phoneticPr fontId="14" type="noConversion"/>
  </si>
  <si>
    <t>新和成</t>
    <phoneticPr fontId="14" type="noConversion"/>
  </si>
  <si>
    <t>002027.SZ</t>
    <phoneticPr fontId="14" type="noConversion"/>
  </si>
  <si>
    <t>分众传媒</t>
    <phoneticPr fontId="14" type="noConversion"/>
  </si>
  <si>
    <t>002028.SZ</t>
    <phoneticPr fontId="14" type="noConversion"/>
  </si>
  <si>
    <t>思源电气</t>
    <phoneticPr fontId="14" type="noConversion"/>
  </si>
  <si>
    <t>002049.SZ</t>
    <phoneticPr fontId="14" type="noConversion"/>
  </si>
  <si>
    <t>紫光国微</t>
    <phoneticPr fontId="14" type="noConversion"/>
  </si>
  <si>
    <t>002050.SZ</t>
    <phoneticPr fontId="14" type="noConversion"/>
  </si>
  <si>
    <t>三花智控</t>
    <phoneticPr fontId="14" type="noConversion"/>
  </si>
  <si>
    <t>002074.SZ</t>
    <phoneticPr fontId="14" type="noConversion"/>
  </si>
  <si>
    <t>国轩高科</t>
    <phoneticPr fontId="14" type="noConversion"/>
  </si>
  <si>
    <t>002142.SZ</t>
    <phoneticPr fontId="14" type="noConversion"/>
  </si>
  <si>
    <t>宁波银行</t>
    <phoneticPr fontId="14" type="noConversion"/>
  </si>
  <si>
    <t>002179.SZ</t>
    <phoneticPr fontId="14" type="noConversion"/>
  </si>
  <si>
    <t>中航光电</t>
    <phoneticPr fontId="14" type="noConversion"/>
  </si>
  <si>
    <t>002230.SZ</t>
    <phoneticPr fontId="14" type="noConversion"/>
  </si>
  <si>
    <t>科大讯飞</t>
    <phoneticPr fontId="14" type="noConversion"/>
  </si>
  <si>
    <t>002236.SZ</t>
    <phoneticPr fontId="14" type="noConversion"/>
  </si>
  <si>
    <t>大华股份</t>
    <phoneticPr fontId="14" type="noConversion"/>
  </si>
  <si>
    <t>002241.SZ</t>
    <phoneticPr fontId="14" type="noConversion"/>
  </si>
  <si>
    <t>歌尔股份</t>
    <phoneticPr fontId="14" type="noConversion"/>
  </si>
  <si>
    <t>002252.SZ</t>
    <phoneticPr fontId="14" type="noConversion"/>
  </si>
  <si>
    <t>上海莱士</t>
    <phoneticPr fontId="14" type="noConversion"/>
  </si>
  <si>
    <t>002304.SZ</t>
    <phoneticPr fontId="14" type="noConversion"/>
  </si>
  <si>
    <t>洋河股份</t>
    <phoneticPr fontId="14" type="noConversion"/>
  </si>
  <si>
    <t>002311.SZ</t>
    <phoneticPr fontId="14" type="noConversion"/>
  </si>
  <si>
    <t>海大集团</t>
    <phoneticPr fontId="14" type="noConversion"/>
  </si>
  <si>
    <t>002352.SZ</t>
    <phoneticPr fontId="14" type="noConversion"/>
  </si>
  <si>
    <t>顺丰控股</t>
    <phoneticPr fontId="14" type="noConversion"/>
  </si>
  <si>
    <t>002371.SZ</t>
    <phoneticPr fontId="14" type="noConversion"/>
  </si>
  <si>
    <t>北方华创</t>
    <phoneticPr fontId="14" type="noConversion"/>
  </si>
  <si>
    <t>002384.SZ</t>
    <phoneticPr fontId="14" type="noConversion"/>
  </si>
  <si>
    <t>东山精密</t>
    <phoneticPr fontId="14" type="noConversion"/>
  </si>
  <si>
    <t>002415.SZ</t>
    <phoneticPr fontId="14" type="noConversion"/>
  </si>
  <si>
    <t>海康威视</t>
    <phoneticPr fontId="14" type="noConversion"/>
  </si>
  <si>
    <t>002422.SZ</t>
    <phoneticPr fontId="14" type="noConversion"/>
  </si>
  <si>
    <t>科伦药业</t>
    <phoneticPr fontId="14" type="noConversion"/>
  </si>
  <si>
    <t>002459.SZ</t>
    <phoneticPr fontId="14" type="noConversion"/>
  </si>
  <si>
    <t>晶澳科技</t>
    <phoneticPr fontId="14" type="noConversion"/>
  </si>
  <si>
    <t>002460.SZ</t>
    <phoneticPr fontId="14" type="noConversion"/>
  </si>
  <si>
    <t>赣锋锂业</t>
    <phoneticPr fontId="14" type="noConversion"/>
  </si>
  <si>
    <t>002463.SZ</t>
    <phoneticPr fontId="14" type="noConversion"/>
  </si>
  <si>
    <t>沪电股份</t>
    <phoneticPr fontId="14" type="noConversion"/>
  </si>
  <si>
    <t>002466.SZ</t>
    <phoneticPr fontId="14" type="noConversion"/>
  </si>
  <si>
    <t>天齐锂业</t>
    <phoneticPr fontId="14" type="noConversion"/>
  </si>
  <si>
    <t>002475.SZ</t>
    <phoneticPr fontId="14" type="noConversion"/>
  </si>
  <si>
    <t>立讯精密</t>
    <phoneticPr fontId="14" type="noConversion"/>
  </si>
  <si>
    <t>002493.SZ</t>
    <phoneticPr fontId="14" type="noConversion"/>
  </si>
  <si>
    <t>荣盛石化</t>
    <phoneticPr fontId="14" type="noConversion"/>
  </si>
  <si>
    <t>002594.SZ</t>
    <phoneticPr fontId="14" type="noConversion"/>
  </si>
  <si>
    <t>比亚迪</t>
    <phoneticPr fontId="14" type="noConversion"/>
  </si>
  <si>
    <t>002600.SZ</t>
    <phoneticPr fontId="14" type="noConversion"/>
  </si>
  <si>
    <t>领益智造</t>
    <phoneticPr fontId="14" type="noConversion"/>
  </si>
  <si>
    <t>002601.SZ</t>
    <phoneticPr fontId="14" type="noConversion"/>
  </si>
  <si>
    <t>龙佰集团</t>
    <phoneticPr fontId="14" type="noConversion"/>
  </si>
  <si>
    <t>002625.SZ</t>
    <phoneticPr fontId="14" type="noConversion"/>
  </si>
  <si>
    <t>光启技术</t>
    <phoneticPr fontId="14" type="noConversion"/>
  </si>
  <si>
    <t>002648.SZ</t>
    <phoneticPr fontId="14" type="noConversion"/>
  </si>
  <si>
    <t>卫星化学</t>
    <phoneticPr fontId="14" type="noConversion"/>
  </si>
  <si>
    <t>002709.SZ</t>
    <phoneticPr fontId="14" type="noConversion"/>
  </si>
  <si>
    <t>天赐材料</t>
    <phoneticPr fontId="14" type="noConversion"/>
  </si>
  <si>
    <t>002714.SZ</t>
    <phoneticPr fontId="14" type="noConversion"/>
  </si>
  <si>
    <t>牧原股份</t>
    <phoneticPr fontId="14" type="noConversion"/>
  </si>
  <si>
    <t>002736.SZ</t>
    <phoneticPr fontId="14" type="noConversion"/>
  </si>
  <si>
    <t>国信证券</t>
    <phoneticPr fontId="14" type="noConversion"/>
  </si>
  <si>
    <t>002916.SZ</t>
    <phoneticPr fontId="14" type="noConversion"/>
  </si>
  <si>
    <t>深南电路</t>
    <phoneticPr fontId="14" type="noConversion"/>
  </si>
  <si>
    <t>002920.SZ</t>
    <phoneticPr fontId="14" type="noConversion"/>
  </si>
  <si>
    <t>德赛西威</t>
    <phoneticPr fontId="14" type="noConversion"/>
  </si>
  <si>
    <t>002938.SZ</t>
    <phoneticPr fontId="14" type="noConversion"/>
  </si>
  <si>
    <t>鹏鼎控股</t>
    <phoneticPr fontId="14" type="noConversion"/>
  </si>
  <si>
    <t>003816.SZ</t>
    <phoneticPr fontId="14" type="noConversion"/>
  </si>
  <si>
    <t>中国广核</t>
    <phoneticPr fontId="14" type="noConversion"/>
  </si>
  <si>
    <t>600000.SH</t>
    <phoneticPr fontId="14" type="noConversion"/>
  </si>
  <si>
    <t>浦发银行</t>
    <phoneticPr fontId="14" type="noConversion"/>
  </si>
  <si>
    <t>600009.SH</t>
    <phoneticPr fontId="14" type="noConversion"/>
  </si>
  <si>
    <t>上海机场</t>
    <phoneticPr fontId="14" type="noConversion"/>
  </si>
  <si>
    <t>600010.SH</t>
    <phoneticPr fontId="14" type="noConversion"/>
  </si>
  <si>
    <t>包钢股份</t>
    <phoneticPr fontId="14" type="noConversion"/>
  </si>
  <si>
    <t>600011.SH</t>
    <phoneticPr fontId="14" type="noConversion"/>
  </si>
  <si>
    <t>华能国际</t>
    <phoneticPr fontId="14" type="noConversion"/>
  </si>
  <si>
    <t>600015.SH</t>
    <phoneticPr fontId="14" type="noConversion"/>
  </si>
  <si>
    <t>华夏银行</t>
    <phoneticPr fontId="14" type="noConversion"/>
  </si>
  <si>
    <t>600016.SH</t>
    <phoneticPr fontId="14" type="noConversion"/>
  </si>
  <si>
    <t>民生银行</t>
    <phoneticPr fontId="14" type="noConversion"/>
  </si>
  <si>
    <t>600018.SH</t>
    <phoneticPr fontId="14" type="noConversion"/>
  </si>
  <si>
    <t>上港集团</t>
    <phoneticPr fontId="14" type="noConversion"/>
  </si>
  <si>
    <t>600019.SH</t>
    <phoneticPr fontId="14" type="noConversion"/>
  </si>
  <si>
    <t>宝钢股份</t>
    <phoneticPr fontId="14" type="noConversion"/>
  </si>
  <si>
    <t>600023.SH</t>
    <phoneticPr fontId="14" type="noConversion"/>
  </si>
  <si>
    <t>浙能电力</t>
    <phoneticPr fontId="14" type="noConversion"/>
  </si>
  <si>
    <t>600025.SH</t>
    <phoneticPr fontId="14" type="noConversion"/>
  </si>
  <si>
    <t>华能水电</t>
    <phoneticPr fontId="14" type="noConversion"/>
  </si>
  <si>
    <t>600026.SH</t>
    <phoneticPr fontId="14" type="noConversion"/>
  </si>
  <si>
    <t>中远海能</t>
    <phoneticPr fontId="14" type="noConversion"/>
  </si>
  <si>
    <t>600027.SH</t>
    <phoneticPr fontId="14" type="noConversion"/>
  </si>
  <si>
    <t>华电国际</t>
    <phoneticPr fontId="14" type="noConversion"/>
  </si>
  <si>
    <t>600028.SH</t>
    <phoneticPr fontId="14" type="noConversion"/>
  </si>
  <si>
    <t>中国石化</t>
    <phoneticPr fontId="14" type="noConversion"/>
  </si>
  <si>
    <t>600029.SH</t>
    <phoneticPr fontId="14" type="noConversion"/>
  </si>
  <si>
    <t>南方航空</t>
    <phoneticPr fontId="14" type="noConversion"/>
  </si>
  <si>
    <t>600030.SH</t>
    <phoneticPr fontId="14" type="noConversion"/>
  </si>
  <si>
    <t>中信证券</t>
    <phoneticPr fontId="14" type="noConversion"/>
  </si>
  <si>
    <t>600031.SH</t>
    <phoneticPr fontId="14" type="noConversion"/>
  </si>
  <si>
    <t>三一重工</t>
    <phoneticPr fontId="14" type="noConversion"/>
  </si>
  <si>
    <t>600036.SH</t>
    <phoneticPr fontId="14" type="noConversion"/>
  </si>
  <si>
    <t>招商银行</t>
    <phoneticPr fontId="14" type="noConversion"/>
  </si>
  <si>
    <t>600039.SH</t>
    <phoneticPr fontId="14" type="noConversion"/>
  </si>
  <si>
    <t>四川路桥</t>
    <phoneticPr fontId="14" type="noConversion"/>
  </si>
  <si>
    <t>600048.SH</t>
    <phoneticPr fontId="14" type="noConversion"/>
  </si>
  <si>
    <t>保利发展</t>
    <phoneticPr fontId="14" type="noConversion"/>
  </si>
  <si>
    <t>600050.SH</t>
    <phoneticPr fontId="14" type="noConversion"/>
  </si>
  <si>
    <t>中国联通</t>
    <phoneticPr fontId="14" type="noConversion"/>
  </si>
  <si>
    <t>600061.SH</t>
    <phoneticPr fontId="14" type="noConversion"/>
  </si>
  <si>
    <t>国投资本</t>
    <phoneticPr fontId="14" type="noConversion"/>
  </si>
  <si>
    <t>600066.SH</t>
    <phoneticPr fontId="14" type="noConversion"/>
  </si>
  <si>
    <t>宇通客车</t>
    <phoneticPr fontId="14" type="noConversion"/>
  </si>
  <si>
    <t>600085.SH</t>
    <phoneticPr fontId="14" type="noConversion"/>
  </si>
  <si>
    <t>同仁堂</t>
    <phoneticPr fontId="14" type="noConversion"/>
  </si>
  <si>
    <t>600089.SH</t>
    <phoneticPr fontId="14" type="noConversion"/>
  </si>
  <si>
    <t>特变电工</t>
    <phoneticPr fontId="14" type="noConversion"/>
  </si>
  <si>
    <t>600104.SH</t>
    <phoneticPr fontId="14" type="noConversion"/>
  </si>
  <si>
    <t>上汽集团</t>
    <phoneticPr fontId="14" type="noConversion"/>
  </si>
  <si>
    <t>600111.SH</t>
    <phoneticPr fontId="14" type="noConversion"/>
  </si>
  <si>
    <t>北方稀土</t>
    <phoneticPr fontId="14" type="noConversion"/>
  </si>
  <si>
    <t>600115.SH</t>
    <phoneticPr fontId="14" type="noConversion"/>
  </si>
  <si>
    <t>中国东航</t>
    <phoneticPr fontId="14" type="noConversion"/>
  </si>
  <si>
    <t>600150.SH</t>
    <phoneticPr fontId="14" type="noConversion"/>
  </si>
  <si>
    <t>中国船舶</t>
    <phoneticPr fontId="14" type="noConversion"/>
  </si>
  <si>
    <t>600160.SH</t>
    <phoneticPr fontId="14" type="noConversion"/>
  </si>
  <si>
    <t>巨化股份</t>
    <phoneticPr fontId="14" type="noConversion"/>
  </si>
  <si>
    <t>600161.SH</t>
    <phoneticPr fontId="14" type="noConversion"/>
  </si>
  <si>
    <t>天坛生物</t>
    <phoneticPr fontId="14" type="noConversion"/>
  </si>
  <si>
    <t>600176.SH</t>
    <phoneticPr fontId="14" type="noConversion"/>
  </si>
  <si>
    <t>中国巨石</t>
    <phoneticPr fontId="14" type="noConversion"/>
  </si>
  <si>
    <t>600183.SH</t>
    <phoneticPr fontId="14" type="noConversion"/>
  </si>
  <si>
    <t>生益科技</t>
    <phoneticPr fontId="14" type="noConversion"/>
  </si>
  <si>
    <t>600188.SH</t>
    <phoneticPr fontId="14" type="noConversion"/>
  </si>
  <si>
    <t>兖矿能源</t>
    <phoneticPr fontId="14" type="noConversion"/>
  </si>
  <si>
    <t>600196.SH</t>
    <phoneticPr fontId="14" type="noConversion"/>
  </si>
  <si>
    <t>复星医药</t>
    <phoneticPr fontId="14" type="noConversion"/>
  </si>
  <si>
    <t>600219.SH</t>
    <phoneticPr fontId="14" type="noConversion"/>
  </si>
  <si>
    <t>南山铝业</t>
    <phoneticPr fontId="14" type="noConversion"/>
  </si>
  <si>
    <t>600233.SH</t>
    <phoneticPr fontId="14" type="noConversion"/>
  </si>
  <si>
    <t>圆通速递</t>
    <phoneticPr fontId="14" type="noConversion"/>
  </si>
  <si>
    <t>600276.SH</t>
    <phoneticPr fontId="14" type="noConversion"/>
  </si>
  <si>
    <t>恒瑞医药</t>
    <phoneticPr fontId="14" type="noConversion"/>
  </si>
  <si>
    <t>600309.SH</t>
    <phoneticPr fontId="14" type="noConversion"/>
  </si>
  <si>
    <t>万华化学</t>
    <phoneticPr fontId="14" type="noConversion"/>
  </si>
  <si>
    <t>600346.SH</t>
    <phoneticPr fontId="14" type="noConversion"/>
  </si>
  <si>
    <t>恒力石化</t>
    <phoneticPr fontId="14" type="noConversion"/>
  </si>
  <si>
    <t>600362.SH</t>
    <phoneticPr fontId="14" type="noConversion"/>
  </si>
  <si>
    <t>江西铜业</t>
    <phoneticPr fontId="14" type="noConversion"/>
  </si>
  <si>
    <t>600372.SH</t>
    <phoneticPr fontId="14" type="noConversion"/>
  </si>
  <si>
    <t>中航机载</t>
    <phoneticPr fontId="14" type="noConversion"/>
  </si>
  <si>
    <t>600377.SH</t>
    <phoneticPr fontId="14" type="noConversion"/>
  </si>
  <si>
    <t>宁沪高速</t>
    <phoneticPr fontId="14" type="noConversion"/>
  </si>
  <si>
    <t>600406.SH</t>
    <phoneticPr fontId="14" type="noConversion"/>
  </si>
  <si>
    <t>国电南瑞</t>
    <phoneticPr fontId="14" type="noConversion"/>
  </si>
  <si>
    <t>600415.SH</t>
    <phoneticPr fontId="14" type="noConversion"/>
  </si>
  <si>
    <t>小商品城</t>
    <phoneticPr fontId="14" type="noConversion"/>
  </si>
  <si>
    <t>600426.SH</t>
    <phoneticPr fontId="14" type="noConversion"/>
  </si>
  <si>
    <t>华鲁恒升</t>
    <phoneticPr fontId="14" type="noConversion"/>
  </si>
  <si>
    <t>600436.SH</t>
    <phoneticPr fontId="14" type="noConversion"/>
  </si>
  <si>
    <t>片仔癀</t>
    <phoneticPr fontId="14" type="noConversion"/>
  </si>
  <si>
    <t>600438.SH</t>
    <phoneticPr fontId="14" type="noConversion"/>
  </si>
  <si>
    <t>通威股份</t>
    <phoneticPr fontId="14" type="noConversion"/>
  </si>
  <si>
    <t>600460.SH</t>
    <phoneticPr fontId="14" type="noConversion"/>
  </si>
  <si>
    <t>士兰微</t>
    <phoneticPr fontId="14" type="noConversion"/>
  </si>
  <si>
    <t>600482.SH</t>
    <phoneticPr fontId="14" type="noConversion"/>
  </si>
  <si>
    <t>中国动力</t>
    <phoneticPr fontId="14" type="noConversion"/>
  </si>
  <si>
    <t>600489.SH</t>
    <phoneticPr fontId="14" type="noConversion"/>
  </si>
  <si>
    <t>中金黄金</t>
    <phoneticPr fontId="14" type="noConversion"/>
  </si>
  <si>
    <t>600515.SH</t>
    <phoneticPr fontId="14" type="noConversion"/>
  </si>
  <si>
    <t>海南机场</t>
    <phoneticPr fontId="14" type="noConversion"/>
  </si>
  <si>
    <t>600519.SH</t>
    <phoneticPr fontId="14" type="noConversion"/>
  </si>
  <si>
    <t>贵州茅台</t>
    <phoneticPr fontId="14" type="noConversion"/>
  </si>
  <si>
    <t>600522.SH</t>
    <phoneticPr fontId="14" type="noConversion"/>
  </si>
  <si>
    <t>中天科技</t>
    <phoneticPr fontId="14" type="noConversion"/>
  </si>
  <si>
    <t>600547.SH</t>
    <phoneticPr fontId="14" type="noConversion"/>
  </si>
  <si>
    <t>山东黄金</t>
    <phoneticPr fontId="14" type="noConversion"/>
  </si>
  <si>
    <t>600570.SH</t>
    <phoneticPr fontId="14" type="noConversion"/>
  </si>
  <si>
    <t>恒生电子</t>
    <phoneticPr fontId="14" type="noConversion"/>
  </si>
  <si>
    <t>600584.SH</t>
    <phoneticPr fontId="14" type="noConversion"/>
  </si>
  <si>
    <t>长电科技</t>
    <phoneticPr fontId="14" type="noConversion"/>
  </si>
  <si>
    <t>600585.SH</t>
    <phoneticPr fontId="14" type="noConversion"/>
  </si>
  <si>
    <t>海螺水泥</t>
    <phoneticPr fontId="14" type="noConversion"/>
  </si>
  <si>
    <t>600588.SH</t>
    <phoneticPr fontId="14" type="noConversion"/>
  </si>
  <si>
    <t>用友网络</t>
    <phoneticPr fontId="14" type="noConversion"/>
  </si>
  <si>
    <t>600600.SH</t>
    <phoneticPr fontId="14" type="noConversion"/>
  </si>
  <si>
    <t>青岛啤酒</t>
    <phoneticPr fontId="14" type="noConversion"/>
  </si>
  <si>
    <t>600660.SH</t>
    <phoneticPr fontId="14" type="noConversion"/>
  </si>
  <si>
    <t>福耀玻璃</t>
    <phoneticPr fontId="14" type="noConversion"/>
  </si>
  <si>
    <t>600674.SH</t>
    <phoneticPr fontId="14" type="noConversion"/>
  </si>
  <si>
    <t>川投能源</t>
    <phoneticPr fontId="14" type="noConversion"/>
  </si>
  <si>
    <t>600690.SH</t>
    <phoneticPr fontId="14" type="noConversion"/>
  </si>
  <si>
    <t>海尔智家</t>
    <phoneticPr fontId="14" type="noConversion"/>
  </si>
  <si>
    <t>600741.SH</t>
    <phoneticPr fontId="14" type="noConversion"/>
  </si>
  <si>
    <t>华域汽车</t>
    <phoneticPr fontId="14" type="noConversion"/>
  </si>
  <si>
    <t>600760.SH</t>
    <phoneticPr fontId="14" type="noConversion"/>
  </si>
  <si>
    <t>中航沈飞</t>
    <phoneticPr fontId="14" type="noConversion"/>
  </si>
  <si>
    <t>600795.SH</t>
    <phoneticPr fontId="14" type="noConversion"/>
  </si>
  <si>
    <t>国电电力</t>
    <phoneticPr fontId="14" type="noConversion"/>
  </si>
  <si>
    <t>600803.SH</t>
    <phoneticPr fontId="14" type="noConversion"/>
  </si>
  <si>
    <t>新奥股份</t>
    <phoneticPr fontId="14" type="noConversion"/>
  </si>
  <si>
    <t>600809.SH</t>
    <phoneticPr fontId="14" type="noConversion"/>
  </si>
  <si>
    <t>山西汾酒</t>
    <phoneticPr fontId="14" type="noConversion"/>
  </si>
  <si>
    <t>600845.SH</t>
    <phoneticPr fontId="14" type="noConversion"/>
  </si>
  <si>
    <t>宝信软件</t>
    <phoneticPr fontId="14" type="noConversion"/>
  </si>
  <si>
    <t>600875.SH</t>
    <phoneticPr fontId="14" type="noConversion"/>
  </si>
  <si>
    <t>东方电气</t>
    <phoneticPr fontId="14" type="noConversion"/>
  </si>
  <si>
    <t>600886.SH</t>
    <phoneticPr fontId="14" type="noConversion"/>
  </si>
  <si>
    <t>国投电力</t>
    <phoneticPr fontId="14" type="noConversion"/>
  </si>
  <si>
    <t>600887.SH</t>
    <phoneticPr fontId="14" type="noConversion"/>
  </si>
  <si>
    <t>伊利股份</t>
    <phoneticPr fontId="14" type="noConversion"/>
  </si>
  <si>
    <t>600893.SH</t>
    <phoneticPr fontId="14" type="noConversion"/>
  </si>
  <si>
    <t>航发动力</t>
    <phoneticPr fontId="14" type="noConversion"/>
  </si>
  <si>
    <t>600900.SH</t>
    <phoneticPr fontId="14" type="noConversion"/>
  </si>
  <si>
    <t>长江电力</t>
    <phoneticPr fontId="14" type="noConversion"/>
  </si>
  <si>
    <t>600905.SH</t>
    <phoneticPr fontId="14" type="noConversion"/>
  </si>
  <si>
    <t>三峡能源</t>
    <phoneticPr fontId="14" type="noConversion"/>
  </si>
  <si>
    <t>600918.SH</t>
    <phoneticPr fontId="14" type="noConversion"/>
  </si>
  <si>
    <t>中泰证券</t>
    <phoneticPr fontId="14" type="noConversion"/>
  </si>
  <si>
    <t>600919.SH</t>
    <phoneticPr fontId="14" type="noConversion"/>
  </si>
  <si>
    <t>江苏银行</t>
    <phoneticPr fontId="14" type="noConversion"/>
  </si>
  <si>
    <t>600926.SH</t>
    <phoneticPr fontId="14" type="noConversion"/>
  </si>
  <si>
    <t>杭州银行</t>
    <phoneticPr fontId="14" type="noConversion"/>
  </si>
  <si>
    <t>600930.SH</t>
    <phoneticPr fontId="14" type="noConversion"/>
  </si>
  <si>
    <t>华电新能</t>
    <phoneticPr fontId="14" type="noConversion"/>
  </si>
  <si>
    <t>600938.SH</t>
    <phoneticPr fontId="14" type="noConversion"/>
  </si>
  <si>
    <t>中国海油</t>
    <phoneticPr fontId="14" type="noConversion"/>
  </si>
  <si>
    <t>600941.SH</t>
    <phoneticPr fontId="14" type="noConversion"/>
  </si>
  <si>
    <t>中国移动</t>
    <phoneticPr fontId="14" type="noConversion"/>
  </si>
  <si>
    <t>600958.SH</t>
    <phoneticPr fontId="14" type="noConversion"/>
  </si>
  <si>
    <t>东方证券</t>
    <phoneticPr fontId="14" type="noConversion"/>
  </si>
  <si>
    <t>600989.SH</t>
    <phoneticPr fontId="14" type="noConversion"/>
  </si>
  <si>
    <t>宝丰能源</t>
    <phoneticPr fontId="14" type="noConversion"/>
  </si>
  <si>
    <t>600999.SH</t>
    <phoneticPr fontId="14" type="noConversion"/>
  </si>
  <si>
    <t>招商证券</t>
    <phoneticPr fontId="14" type="noConversion"/>
  </si>
  <si>
    <t>601006.SH</t>
    <phoneticPr fontId="14" type="noConversion"/>
  </si>
  <si>
    <t>大秦铁路</t>
    <phoneticPr fontId="14" type="noConversion"/>
  </si>
  <si>
    <t>601009.SH</t>
    <phoneticPr fontId="14" type="noConversion"/>
  </si>
  <si>
    <t>南京银行</t>
    <phoneticPr fontId="14" type="noConversion"/>
  </si>
  <si>
    <t>601012.SH</t>
    <phoneticPr fontId="14" type="noConversion"/>
  </si>
  <si>
    <t>隆基绿能</t>
    <phoneticPr fontId="14" type="noConversion"/>
  </si>
  <si>
    <t>601018.SH</t>
    <phoneticPr fontId="14" type="noConversion"/>
  </si>
  <si>
    <t>宁波港</t>
    <phoneticPr fontId="14" type="noConversion"/>
  </si>
  <si>
    <t>601021.SH</t>
    <phoneticPr fontId="14" type="noConversion"/>
  </si>
  <si>
    <t>春秋航空</t>
    <phoneticPr fontId="14" type="noConversion"/>
  </si>
  <si>
    <t>601058.SH</t>
    <phoneticPr fontId="14" type="noConversion"/>
  </si>
  <si>
    <t>赛轮轮胎</t>
    <phoneticPr fontId="14" type="noConversion"/>
  </si>
  <si>
    <t>601059.SH</t>
    <phoneticPr fontId="14" type="noConversion"/>
  </si>
  <si>
    <t>信达证券</t>
    <phoneticPr fontId="14" type="noConversion"/>
  </si>
  <si>
    <t>601066.SH</t>
    <phoneticPr fontId="14" type="noConversion"/>
  </si>
  <si>
    <t>中信建投</t>
    <phoneticPr fontId="14" type="noConversion"/>
  </si>
  <si>
    <t>601077.SH</t>
    <phoneticPr fontId="14" type="noConversion"/>
  </si>
  <si>
    <t>渝农商行</t>
    <phoneticPr fontId="14" type="noConversion"/>
  </si>
  <si>
    <t>601088.SH</t>
    <phoneticPr fontId="14" type="noConversion"/>
  </si>
  <si>
    <t>中国神华</t>
    <phoneticPr fontId="14" type="noConversion"/>
  </si>
  <si>
    <t>601100.SH</t>
    <phoneticPr fontId="14" type="noConversion"/>
  </si>
  <si>
    <t>恒立液压</t>
    <phoneticPr fontId="14" type="noConversion"/>
  </si>
  <si>
    <t>601111.SH</t>
    <phoneticPr fontId="14" type="noConversion"/>
  </si>
  <si>
    <t>中国国航</t>
    <phoneticPr fontId="14" type="noConversion"/>
  </si>
  <si>
    <t>601117.SH</t>
    <phoneticPr fontId="14" type="noConversion"/>
  </si>
  <si>
    <t>中国化学</t>
    <phoneticPr fontId="14" type="noConversion"/>
  </si>
  <si>
    <t>601127.SH</t>
    <phoneticPr fontId="14" type="noConversion"/>
  </si>
  <si>
    <t>赛力斯</t>
    <phoneticPr fontId="14" type="noConversion"/>
  </si>
  <si>
    <t>601136.SH</t>
    <phoneticPr fontId="14" type="noConversion"/>
  </si>
  <si>
    <t>首创证券</t>
    <phoneticPr fontId="14" type="noConversion"/>
  </si>
  <si>
    <t>601138.SH</t>
    <phoneticPr fontId="14" type="noConversion"/>
  </si>
  <si>
    <t>工业富联</t>
    <phoneticPr fontId="14" type="noConversion"/>
  </si>
  <si>
    <t>601166.SH</t>
    <phoneticPr fontId="14" type="noConversion"/>
  </si>
  <si>
    <t>兴业银行</t>
    <phoneticPr fontId="14" type="noConversion"/>
  </si>
  <si>
    <t>601169.SH</t>
    <phoneticPr fontId="14" type="noConversion"/>
  </si>
  <si>
    <t>北京银行</t>
    <phoneticPr fontId="14" type="noConversion"/>
  </si>
  <si>
    <t>601186.SH</t>
    <phoneticPr fontId="14" type="noConversion"/>
  </si>
  <si>
    <t>中国铁建</t>
    <phoneticPr fontId="14" type="noConversion"/>
  </si>
  <si>
    <t>601211.SH</t>
    <phoneticPr fontId="14" type="noConversion"/>
  </si>
  <si>
    <t>国泰海通</t>
    <phoneticPr fontId="14" type="noConversion"/>
  </si>
  <si>
    <t>601225.SH</t>
    <phoneticPr fontId="14" type="noConversion"/>
  </si>
  <si>
    <t>陕西煤业</t>
    <phoneticPr fontId="14" type="noConversion"/>
  </si>
  <si>
    <t>601229.SH</t>
    <phoneticPr fontId="14" type="noConversion"/>
  </si>
  <si>
    <t>上海银行</t>
    <phoneticPr fontId="14" type="noConversion"/>
  </si>
  <si>
    <t>601236.SH</t>
    <phoneticPr fontId="14" type="noConversion"/>
  </si>
  <si>
    <t>红塔证券</t>
    <phoneticPr fontId="14" type="noConversion"/>
  </si>
  <si>
    <t>601238.SH</t>
    <phoneticPr fontId="14" type="noConversion"/>
  </si>
  <si>
    <t>广汽集团</t>
    <phoneticPr fontId="14" type="noConversion"/>
  </si>
  <si>
    <t>601288.SH</t>
    <phoneticPr fontId="14" type="noConversion"/>
  </si>
  <si>
    <t>农业银行</t>
    <phoneticPr fontId="14" type="noConversion"/>
  </si>
  <si>
    <t>601298.SH</t>
    <phoneticPr fontId="14" type="noConversion"/>
  </si>
  <si>
    <t>青岛港</t>
    <phoneticPr fontId="14" type="noConversion"/>
  </si>
  <si>
    <t>601318.SH</t>
    <phoneticPr fontId="14" type="noConversion"/>
  </si>
  <si>
    <t>中国平安</t>
    <phoneticPr fontId="14" type="noConversion"/>
  </si>
  <si>
    <t>601319.SH</t>
    <phoneticPr fontId="14" type="noConversion"/>
  </si>
  <si>
    <t>中国人保</t>
    <phoneticPr fontId="14" type="noConversion"/>
  </si>
  <si>
    <t>601328.SH</t>
    <phoneticPr fontId="14" type="noConversion"/>
  </si>
  <si>
    <t>交通银行</t>
    <phoneticPr fontId="14" type="noConversion"/>
  </si>
  <si>
    <t>601336.SH</t>
    <phoneticPr fontId="14" type="noConversion"/>
  </si>
  <si>
    <t>新华保险</t>
    <phoneticPr fontId="14" type="noConversion"/>
  </si>
  <si>
    <t>601360.SH</t>
    <phoneticPr fontId="14" type="noConversion"/>
  </si>
  <si>
    <t>三六零</t>
    <phoneticPr fontId="14" type="noConversion"/>
  </si>
  <si>
    <t>601377.SH</t>
    <phoneticPr fontId="14" type="noConversion"/>
  </si>
  <si>
    <t>兴业证券</t>
    <phoneticPr fontId="14" type="noConversion"/>
  </si>
  <si>
    <t>601390.SH</t>
    <phoneticPr fontId="14" type="noConversion"/>
  </si>
  <si>
    <t>中国中铁</t>
    <phoneticPr fontId="14" type="noConversion"/>
  </si>
  <si>
    <t>601398.SH</t>
    <phoneticPr fontId="14" type="noConversion"/>
  </si>
  <si>
    <t>工商银行</t>
    <phoneticPr fontId="14" type="noConversion"/>
  </si>
  <si>
    <t>601456.SH</t>
    <phoneticPr fontId="14" type="noConversion"/>
  </si>
  <si>
    <t>国联民生</t>
    <phoneticPr fontId="14" type="noConversion"/>
  </si>
  <si>
    <t>601600.SH</t>
    <phoneticPr fontId="14" type="noConversion"/>
  </si>
  <si>
    <t>中国铝业</t>
    <phoneticPr fontId="14" type="noConversion"/>
  </si>
  <si>
    <t>601601.SH</t>
    <phoneticPr fontId="14" type="noConversion"/>
  </si>
  <si>
    <t>中国太保</t>
    <phoneticPr fontId="14" type="noConversion"/>
  </si>
  <si>
    <t>601607.SH</t>
    <phoneticPr fontId="14" type="noConversion"/>
  </si>
  <si>
    <t>上海医药</t>
    <phoneticPr fontId="14" type="noConversion"/>
  </si>
  <si>
    <t>601618.SH</t>
    <phoneticPr fontId="14" type="noConversion"/>
  </si>
  <si>
    <t>中国中冶</t>
    <phoneticPr fontId="14" type="noConversion"/>
  </si>
  <si>
    <t>601628.SH</t>
    <phoneticPr fontId="14" type="noConversion"/>
  </si>
  <si>
    <t>中国人寿</t>
    <phoneticPr fontId="14" type="noConversion"/>
  </si>
  <si>
    <t>601633.SH</t>
    <phoneticPr fontId="14" type="noConversion"/>
  </si>
  <si>
    <t>长城汽车</t>
    <phoneticPr fontId="14" type="noConversion"/>
  </si>
  <si>
    <t>601658.SH</t>
    <phoneticPr fontId="14" type="noConversion"/>
  </si>
  <si>
    <t>邮储银行</t>
    <phoneticPr fontId="14" type="noConversion"/>
  </si>
  <si>
    <t>601668.SH</t>
    <phoneticPr fontId="14" type="noConversion"/>
  </si>
  <si>
    <t>中国建筑</t>
    <phoneticPr fontId="14" type="noConversion"/>
  </si>
  <si>
    <t>601669.SH</t>
    <phoneticPr fontId="14" type="noConversion"/>
  </si>
  <si>
    <t>中国电建</t>
    <phoneticPr fontId="14" type="noConversion"/>
  </si>
  <si>
    <t>601688.SH</t>
    <phoneticPr fontId="14" type="noConversion"/>
  </si>
  <si>
    <t>华泰证券</t>
    <phoneticPr fontId="14" type="noConversion"/>
  </si>
  <si>
    <t>601689.SH</t>
    <phoneticPr fontId="14" type="noConversion"/>
  </si>
  <si>
    <t>拓普集团</t>
    <phoneticPr fontId="14" type="noConversion"/>
  </si>
  <si>
    <t>601698.SH</t>
    <phoneticPr fontId="14" type="noConversion"/>
  </si>
  <si>
    <t>中国卫通</t>
    <phoneticPr fontId="14" type="noConversion"/>
  </si>
  <si>
    <t>601728.SH</t>
    <phoneticPr fontId="14" type="noConversion"/>
  </si>
  <si>
    <t>中国电信</t>
    <phoneticPr fontId="14" type="noConversion"/>
  </si>
  <si>
    <t>601766.SH</t>
    <phoneticPr fontId="14" type="noConversion"/>
  </si>
  <si>
    <t>中国中车</t>
    <phoneticPr fontId="14" type="noConversion"/>
  </si>
  <si>
    <t>601788.SH</t>
    <phoneticPr fontId="14" type="noConversion"/>
  </si>
  <si>
    <t>光大证券</t>
    <phoneticPr fontId="14" type="noConversion"/>
  </si>
  <si>
    <t>601800.SH</t>
    <phoneticPr fontId="14" type="noConversion"/>
  </si>
  <si>
    <t>中国交建</t>
    <phoneticPr fontId="14" type="noConversion"/>
  </si>
  <si>
    <t>601808.SH</t>
    <phoneticPr fontId="14" type="noConversion"/>
  </si>
  <si>
    <t>中海油服</t>
    <phoneticPr fontId="14" type="noConversion"/>
  </si>
  <si>
    <t>601816.SH</t>
    <phoneticPr fontId="14" type="noConversion"/>
  </si>
  <si>
    <t>京沪高铁</t>
    <phoneticPr fontId="14" type="noConversion"/>
  </si>
  <si>
    <t>601818.SH</t>
    <phoneticPr fontId="14" type="noConversion"/>
  </si>
  <si>
    <t>光大银行</t>
    <phoneticPr fontId="14" type="noConversion"/>
  </si>
  <si>
    <t>601825.SH</t>
    <phoneticPr fontId="14" type="noConversion"/>
  </si>
  <si>
    <t>沪农商行</t>
    <phoneticPr fontId="14" type="noConversion"/>
  </si>
  <si>
    <t>601838.SH</t>
    <phoneticPr fontId="14" type="noConversion"/>
  </si>
  <si>
    <t>成都银行</t>
    <phoneticPr fontId="14" type="noConversion"/>
  </si>
  <si>
    <t>601857.SH</t>
    <phoneticPr fontId="14" type="noConversion"/>
  </si>
  <si>
    <t>中国石油</t>
    <phoneticPr fontId="14" type="noConversion"/>
  </si>
  <si>
    <t>601868.SH</t>
    <phoneticPr fontId="14" type="noConversion"/>
  </si>
  <si>
    <t>中国能建</t>
    <phoneticPr fontId="14" type="noConversion"/>
  </si>
  <si>
    <t>601872.SH</t>
    <phoneticPr fontId="14" type="noConversion"/>
  </si>
  <si>
    <t>招商轮船</t>
    <phoneticPr fontId="14" type="noConversion"/>
  </si>
  <si>
    <t>601877.SH</t>
    <phoneticPr fontId="14" type="noConversion"/>
  </si>
  <si>
    <t>正泰电器</t>
    <phoneticPr fontId="14" type="noConversion"/>
  </si>
  <si>
    <t>601878.SH</t>
    <phoneticPr fontId="14" type="noConversion"/>
  </si>
  <si>
    <t>浙商证券</t>
    <phoneticPr fontId="14" type="noConversion"/>
  </si>
  <si>
    <t>601881.SH</t>
    <phoneticPr fontId="14" type="noConversion"/>
  </si>
  <si>
    <t>中国银河</t>
    <phoneticPr fontId="14" type="noConversion"/>
  </si>
  <si>
    <t>601888.SH</t>
    <phoneticPr fontId="14" type="noConversion"/>
  </si>
  <si>
    <t>中国中免</t>
    <phoneticPr fontId="14" type="noConversion"/>
  </si>
  <si>
    <t>601898.SH</t>
    <phoneticPr fontId="14" type="noConversion"/>
  </si>
  <si>
    <t>中煤能源</t>
    <phoneticPr fontId="14" type="noConversion"/>
  </si>
  <si>
    <t>601899.SH</t>
    <phoneticPr fontId="14" type="noConversion"/>
  </si>
  <si>
    <t>紫金矿业</t>
    <phoneticPr fontId="14" type="noConversion"/>
  </si>
  <si>
    <t>601901.SH</t>
    <phoneticPr fontId="14" type="noConversion"/>
  </si>
  <si>
    <t>方正证券</t>
    <phoneticPr fontId="14" type="noConversion"/>
  </si>
  <si>
    <t>601916.SH</t>
    <phoneticPr fontId="14" type="noConversion"/>
  </si>
  <si>
    <t>浙商银行</t>
    <phoneticPr fontId="14" type="noConversion"/>
  </si>
  <si>
    <t>601919.SH</t>
    <phoneticPr fontId="14" type="noConversion"/>
  </si>
  <si>
    <t>中远海控</t>
    <phoneticPr fontId="14" type="noConversion"/>
  </si>
  <si>
    <t>601939.SH</t>
    <phoneticPr fontId="14" type="noConversion"/>
  </si>
  <si>
    <t>建设银行</t>
    <phoneticPr fontId="14" type="noConversion"/>
  </si>
  <si>
    <t>601985.SH</t>
    <phoneticPr fontId="14" type="noConversion"/>
  </si>
  <si>
    <t>中国核电</t>
    <phoneticPr fontId="14" type="noConversion"/>
  </si>
  <si>
    <t>601988.SH</t>
    <phoneticPr fontId="14" type="noConversion"/>
  </si>
  <si>
    <t>中国银行</t>
    <phoneticPr fontId="14" type="noConversion"/>
  </si>
  <si>
    <t>601995.SH</t>
    <phoneticPr fontId="14" type="noConversion"/>
  </si>
  <si>
    <t>中金公司</t>
    <phoneticPr fontId="14" type="noConversion"/>
  </si>
  <si>
    <t>601998.SH</t>
    <phoneticPr fontId="14" type="noConversion"/>
  </si>
  <si>
    <t>中信银行</t>
    <phoneticPr fontId="14" type="noConversion"/>
  </si>
  <si>
    <t>603019.SH</t>
    <phoneticPr fontId="14" type="noConversion"/>
  </si>
  <si>
    <t>中科曙光</t>
    <phoneticPr fontId="14" type="noConversion"/>
  </si>
  <si>
    <t>603195.SH</t>
    <phoneticPr fontId="14" type="noConversion"/>
  </si>
  <si>
    <t>公牛集团</t>
    <phoneticPr fontId="14" type="noConversion"/>
  </si>
  <si>
    <t>603259.SH</t>
    <phoneticPr fontId="14" type="noConversion"/>
  </si>
  <si>
    <t>药明康德</t>
    <phoneticPr fontId="14" type="noConversion"/>
  </si>
  <si>
    <t>603260.SH</t>
    <phoneticPr fontId="14" type="noConversion"/>
  </si>
  <si>
    <t>合盛硅业</t>
    <phoneticPr fontId="14" type="noConversion"/>
  </si>
  <si>
    <t>603288.SH</t>
    <phoneticPr fontId="14" type="noConversion"/>
  </si>
  <si>
    <t>海天味业</t>
    <phoneticPr fontId="14" type="noConversion"/>
  </si>
  <si>
    <t>603296.SH</t>
    <phoneticPr fontId="14" type="noConversion"/>
  </si>
  <si>
    <t>华勤技术</t>
    <phoneticPr fontId="14" type="noConversion"/>
  </si>
  <si>
    <t>603369.SH</t>
    <phoneticPr fontId="14" type="noConversion"/>
  </si>
  <si>
    <t>今世缘</t>
    <phoneticPr fontId="14" type="noConversion"/>
  </si>
  <si>
    <t>603392.SH</t>
    <phoneticPr fontId="14" type="noConversion"/>
  </si>
  <si>
    <t>万泰生物</t>
    <phoneticPr fontId="14" type="noConversion"/>
  </si>
  <si>
    <t>603501.SH</t>
    <phoneticPr fontId="14" type="noConversion"/>
  </si>
  <si>
    <t>豪威集团</t>
    <phoneticPr fontId="14" type="noConversion"/>
  </si>
  <si>
    <t>603799.SH</t>
    <phoneticPr fontId="14" type="noConversion"/>
  </si>
  <si>
    <t>华友钴业</t>
    <phoneticPr fontId="14" type="noConversion"/>
  </si>
  <si>
    <t>603893.SH</t>
    <phoneticPr fontId="14" type="noConversion"/>
  </si>
  <si>
    <t>瑞芯微</t>
    <phoneticPr fontId="14" type="noConversion"/>
  </si>
  <si>
    <t>603986.SH</t>
    <phoneticPr fontId="14" type="noConversion"/>
  </si>
  <si>
    <t>兆易创新</t>
    <phoneticPr fontId="14" type="noConversion"/>
  </si>
  <si>
    <t>603993.SH</t>
    <phoneticPr fontId="14" type="noConversion"/>
  </si>
  <si>
    <t>洛阳钼业</t>
    <phoneticPr fontId="14" type="noConversion"/>
  </si>
  <si>
    <t>605117.SH</t>
    <phoneticPr fontId="14" type="noConversion"/>
  </si>
  <si>
    <t>德业股份</t>
    <phoneticPr fontId="14" type="noConversion"/>
  </si>
  <si>
    <t>605499.SH</t>
    <phoneticPr fontId="14" type="noConversion"/>
  </si>
  <si>
    <t>东鹏饮料</t>
    <phoneticPr fontId="14" type="noConversion"/>
  </si>
  <si>
    <t>688008.SH</t>
    <phoneticPr fontId="14" type="noConversion"/>
  </si>
  <si>
    <t>澜起科技</t>
    <phoneticPr fontId="14" type="noConversion"/>
  </si>
  <si>
    <t>传音控股</t>
    <phoneticPr fontId="14" type="noConversion"/>
  </si>
  <si>
    <t>688041.SH</t>
    <phoneticPr fontId="14" type="noConversion"/>
  </si>
  <si>
    <t>688082.SH</t>
    <phoneticPr fontId="14" type="noConversion"/>
  </si>
  <si>
    <t>晶科能源</t>
    <phoneticPr fontId="14" type="noConversion"/>
  </si>
  <si>
    <t>688271.SH</t>
    <phoneticPr fontId="14" type="noConversion"/>
  </si>
  <si>
    <t>联影医疗</t>
    <phoneticPr fontId="14" type="noConversion"/>
  </si>
  <si>
    <t>688303.SH</t>
    <phoneticPr fontId="14" type="noConversion"/>
  </si>
  <si>
    <t>688396.SH</t>
    <phoneticPr fontId="14" type="noConversion"/>
  </si>
  <si>
    <t>阿特斯</t>
    <phoneticPr fontId="14" type="noConversion"/>
  </si>
  <si>
    <t>index</t>
    <phoneticPr fontId="14" type="noConversion"/>
  </si>
  <si>
    <t>000905.SH</t>
    <phoneticPr fontId="14" type="noConversion"/>
  </si>
  <si>
    <t>日期</t>
    <phoneticPr fontId="14" type="noConversion"/>
  </si>
  <si>
    <t>证券名称</t>
    <phoneticPr fontId="14" type="noConversion"/>
  </si>
  <si>
    <t>最新权重</t>
    <phoneticPr fontId="14" type="noConversion"/>
  </si>
  <si>
    <t>000009.SZ</t>
    <phoneticPr fontId="14" type="noConversion"/>
  </si>
  <si>
    <t>000027.SZ</t>
    <phoneticPr fontId="14" type="noConversion"/>
  </si>
  <si>
    <t>深圳能源</t>
    <phoneticPr fontId="14" type="noConversion"/>
  </si>
  <si>
    <t>000032.SZ</t>
    <phoneticPr fontId="14" type="noConversion"/>
  </si>
  <si>
    <t>深桑达A</t>
    <phoneticPr fontId="14" type="noConversion"/>
  </si>
  <si>
    <t>000034.SZ</t>
    <phoneticPr fontId="14" type="noConversion"/>
  </si>
  <si>
    <t>神州数码</t>
    <phoneticPr fontId="14" type="noConversion"/>
  </si>
  <si>
    <t>000039.SZ</t>
    <phoneticPr fontId="14" type="noConversion"/>
  </si>
  <si>
    <t>中集集团</t>
    <phoneticPr fontId="14" type="noConversion"/>
  </si>
  <si>
    <t>000050.SZ</t>
    <phoneticPr fontId="14" type="noConversion"/>
  </si>
  <si>
    <t>000060.SZ</t>
    <phoneticPr fontId="14" type="noConversion"/>
  </si>
  <si>
    <t>中金岭南</t>
    <phoneticPr fontId="14" type="noConversion"/>
  </si>
  <si>
    <t>000062.SZ</t>
    <phoneticPr fontId="14" type="noConversion"/>
  </si>
  <si>
    <t>000088.SZ</t>
    <phoneticPr fontId="14" type="noConversion"/>
  </si>
  <si>
    <t>盐田港</t>
    <phoneticPr fontId="14" type="noConversion"/>
  </si>
  <si>
    <t>000155.SZ</t>
    <phoneticPr fontId="14" type="noConversion"/>
  </si>
  <si>
    <t>川能动力</t>
    <phoneticPr fontId="14" type="noConversion"/>
  </si>
  <si>
    <t>许继电气</t>
    <phoneticPr fontId="14" type="noConversion"/>
  </si>
  <si>
    <t>000423.SZ</t>
    <phoneticPr fontId="14" type="noConversion"/>
  </si>
  <si>
    <t>000426.SZ</t>
    <phoneticPr fontId="14" type="noConversion"/>
  </si>
  <si>
    <t>兴业银锡</t>
    <phoneticPr fontId="14" type="noConversion"/>
  </si>
  <si>
    <t>000429.SZ</t>
    <phoneticPr fontId="14" type="noConversion"/>
  </si>
  <si>
    <t>粤高速A</t>
    <phoneticPr fontId="14" type="noConversion"/>
  </si>
  <si>
    <t>000513.SZ</t>
    <phoneticPr fontId="14" type="noConversion"/>
  </si>
  <si>
    <t>丽珠集团</t>
    <phoneticPr fontId="14" type="noConversion"/>
  </si>
  <si>
    <t>000519.SZ</t>
    <phoneticPr fontId="14" type="noConversion"/>
  </si>
  <si>
    <t>中兵红箭</t>
    <phoneticPr fontId="14" type="noConversion"/>
  </si>
  <si>
    <t>000528.SZ</t>
    <phoneticPr fontId="14" type="noConversion"/>
  </si>
  <si>
    <t>柳工</t>
    <phoneticPr fontId="14" type="noConversion"/>
  </si>
  <si>
    <t>000537.SZ</t>
    <phoneticPr fontId="14" type="noConversion"/>
  </si>
  <si>
    <t>绿发电力</t>
    <phoneticPr fontId="14" type="noConversion"/>
  </si>
  <si>
    <t>000539.SZ</t>
    <phoneticPr fontId="14" type="noConversion"/>
  </si>
  <si>
    <t>粤电力A</t>
    <phoneticPr fontId="14" type="noConversion"/>
  </si>
  <si>
    <t>000559.SZ</t>
    <phoneticPr fontId="14" type="noConversion"/>
  </si>
  <si>
    <t>万向钱潮</t>
    <phoneticPr fontId="14" type="noConversion"/>
  </si>
  <si>
    <t>000563.SZ</t>
    <phoneticPr fontId="14" type="noConversion"/>
  </si>
  <si>
    <t>陕国投A</t>
    <phoneticPr fontId="14" type="noConversion"/>
  </si>
  <si>
    <t>000582.SZ</t>
    <phoneticPr fontId="14" type="noConversion"/>
  </si>
  <si>
    <t>北部湾港</t>
    <phoneticPr fontId="14" type="noConversion"/>
  </si>
  <si>
    <t>000591.SZ</t>
    <phoneticPr fontId="14" type="noConversion"/>
  </si>
  <si>
    <t>太阳能</t>
    <phoneticPr fontId="14" type="noConversion"/>
  </si>
  <si>
    <t>000598.SZ</t>
    <phoneticPr fontId="14" type="noConversion"/>
  </si>
  <si>
    <t>兴蓉环境</t>
    <phoneticPr fontId="14" type="noConversion"/>
  </si>
  <si>
    <t>吉林敖东</t>
    <phoneticPr fontId="14" type="noConversion"/>
  </si>
  <si>
    <t>000629.SZ</t>
    <phoneticPr fontId="14" type="noConversion"/>
  </si>
  <si>
    <t>钒钛股份</t>
    <phoneticPr fontId="14" type="noConversion"/>
  </si>
  <si>
    <t>000657.SZ</t>
    <phoneticPr fontId="14" type="noConversion"/>
  </si>
  <si>
    <t>中钨高新</t>
    <phoneticPr fontId="14" type="noConversion"/>
  </si>
  <si>
    <t>000683.SZ</t>
    <phoneticPr fontId="14" type="noConversion"/>
  </si>
  <si>
    <t>博源化工</t>
    <phoneticPr fontId="14" type="noConversion"/>
  </si>
  <si>
    <t>000709.SZ</t>
    <phoneticPr fontId="14" type="noConversion"/>
  </si>
  <si>
    <t>河钢股份</t>
    <phoneticPr fontId="14" type="noConversion"/>
  </si>
  <si>
    <t>000723.SZ</t>
    <phoneticPr fontId="14" type="noConversion"/>
  </si>
  <si>
    <t>美锦能源</t>
    <phoneticPr fontId="14" type="noConversion"/>
  </si>
  <si>
    <t>000728.SZ</t>
    <phoneticPr fontId="14" type="noConversion"/>
  </si>
  <si>
    <t>国元证券</t>
    <phoneticPr fontId="14" type="noConversion"/>
  </si>
  <si>
    <t>000729.SZ</t>
    <phoneticPr fontId="14" type="noConversion"/>
  </si>
  <si>
    <t>000733.SZ</t>
    <phoneticPr fontId="14" type="noConversion"/>
  </si>
  <si>
    <t>振华科技</t>
    <phoneticPr fontId="14" type="noConversion"/>
  </si>
  <si>
    <t>000738.SZ</t>
    <phoneticPr fontId="14" type="noConversion"/>
  </si>
  <si>
    <t>航发控制</t>
    <phoneticPr fontId="14" type="noConversion"/>
  </si>
  <si>
    <t>000739.SZ</t>
    <phoneticPr fontId="14" type="noConversion"/>
  </si>
  <si>
    <t>普洛药业</t>
    <phoneticPr fontId="14" type="noConversion"/>
  </si>
  <si>
    <t>000750.SZ</t>
    <phoneticPr fontId="14" type="noConversion"/>
  </si>
  <si>
    <t>国海证券</t>
    <phoneticPr fontId="14" type="noConversion"/>
  </si>
  <si>
    <t>000783.SZ</t>
    <phoneticPr fontId="14" type="noConversion"/>
  </si>
  <si>
    <t>长江证券</t>
    <phoneticPr fontId="14" type="noConversion"/>
  </si>
  <si>
    <t>000785.SZ</t>
    <phoneticPr fontId="14" type="noConversion"/>
  </si>
  <si>
    <t>居然智家</t>
    <phoneticPr fontId="14" type="noConversion"/>
  </si>
  <si>
    <t>000825.SZ</t>
    <phoneticPr fontId="14" type="noConversion"/>
  </si>
  <si>
    <t>太钢不锈</t>
    <phoneticPr fontId="14" type="noConversion"/>
  </si>
  <si>
    <t>000830.SZ</t>
    <phoneticPr fontId="14" type="noConversion"/>
  </si>
  <si>
    <t>鲁西化工</t>
    <phoneticPr fontId="14" type="noConversion"/>
  </si>
  <si>
    <t>000831.SZ</t>
    <phoneticPr fontId="14" type="noConversion"/>
  </si>
  <si>
    <t>中国稀土</t>
    <phoneticPr fontId="14" type="noConversion"/>
  </si>
  <si>
    <t>000878.SZ</t>
    <phoneticPr fontId="14" type="noConversion"/>
  </si>
  <si>
    <t>云南铜业</t>
    <phoneticPr fontId="14" type="noConversion"/>
  </si>
  <si>
    <t>000883.SZ</t>
    <phoneticPr fontId="14" type="noConversion"/>
  </si>
  <si>
    <t>湖北能源</t>
    <phoneticPr fontId="14" type="noConversion"/>
  </si>
  <si>
    <t>000887.SZ</t>
    <phoneticPr fontId="14" type="noConversion"/>
  </si>
  <si>
    <t>000893.SZ</t>
    <phoneticPr fontId="14" type="noConversion"/>
  </si>
  <si>
    <t>亚钾国际</t>
    <phoneticPr fontId="14" type="noConversion"/>
  </si>
  <si>
    <t>000898.SZ</t>
    <phoneticPr fontId="14" type="noConversion"/>
  </si>
  <si>
    <t>鞍钢股份</t>
    <phoneticPr fontId="14" type="noConversion"/>
  </si>
  <si>
    <t>000921.SZ</t>
    <phoneticPr fontId="14" type="noConversion"/>
  </si>
  <si>
    <t>海信家电</t>
    <phoneticPr fontId="14" type="noConversion"/>
  </si>
  <si>
    <t>000932.SZ</t>
    <phoneticPr fontId="14" type="noConversion"/>
  </si>
  <si>
    <t>华菱钢铁</t>
    <phoneticPr fontId="14" type="noConversion"/>
  </si>
  <si>
    <t>000933.SZ</t>
    <phoneticPr fontId="14" type="noConversion"/>
  </si>
  <si>
    <t>神火股份</t>
    <phoneticPr fontId="14" type="noConversion"/>
  </si>
  <si>
    <t>000937.SZ</t>
    <phoneticPr fontId="14" type="noConversion"/>
  </si>
  <si>
    <t>000951.SZ</t>
    <phoneticPr fontId="14" type="noConversion"/>
  </si>
  <si>
    <t>中国重汽</t>
    <phoneticPr fontId="14" type="noConversion"/>
  </si>
  <si>
    <t>000958.SZ</t>
    <phoneticPr fontId="14" type="noConversion"/>
  </si>
  <si>
    <t>电投产融</t>
    <phoneticPr fontId="14" type="noConversion"/>
  </si>
  <si>
    <t>000959.SZ</t>
    <phoneticPr fontId="14" type="noConversion"/>
  </si>
  <si>
    <t>首钢股份</t>
    <phoneticPr fontId="14" type="noConversion"/>
  </si>
  <si>
    <t>000960.SZ</t>
    <phoneticPr fontId="14" type="noConversion"/>
  </si>
  <si>
    <t>锡业股份</t>
    <phoneticPr fontId="14" type="noConversion"/>
  </si>
  <si>
    <t>000967.SZ</t>
    <phoneticPr fontId="14" type="noConversion"/>
  </si>
  <si>
    <t>盈峰环境</t>
    <phoneticPr fontId="14" type="noConversion"/>
  </si>
  <si>
    <t>000987.SZ</t>
    <phoneticPr fontId="14" type="noConversion"/>
  </si>
  <si>
    <t>000997.SZ</t>
    <phoneticPr fontId="14" type="noConversion"/>
  </si>
  <si>
    <t>新大陆</t>
    <phoneticPr fontId="14" type="noConversion"/>
  </si>
  <si>
    <t>001213.SZ</t>
    <phoneticPr fontId="14" type="noConversion"/>
  </si>
  <si>
    <t>中铁特货</t>
    <phoneticPr fontId="14" type="noConversion"/>
  </si>
  <si>
    <t>001221.SZ</t>
    <phoneticPr fontId="14" type="noConversion"/>
  </si>
  <si>
    <t>悍高集团</t>
    <phoneticPr fontId="14" type="noConversion"/>
  </si>
  <si>
    <t>001286.SZ</t>
    <phoneticPr fontId="14" type="noConversion"/>
  </si>
  <si>
    <t>陕西能源</t>
    <phoneticPr fontId="14" type="noConversion"/>
  </si>
  <si>
    <t>001389.SZ</t>
    <phoneticPr fontId="14" type="noConversion"/>
  </si>
  <si>
    <t>广合科技</t>
    <phoneticPr fontId="14" type="noConversion"/>
  </si>
  <si>
    <t>001696.SZ</t>
    <phoneticPr fontId="14" type="noConversion"/>
  </si>
  <si>
    <t>宗申动力</t>
    <phoneticPr fontId="14" type="noConversion"/>
  </si>
  <si>
    <t>华兰生物</t>
    <phoneticPr fontId="14" type="noConversion"/>
  </si>
  <si>
    <t>002008.SZ</t>
    <phoneticPr fontId="14" type="noConversion"/>
  </si>
  <si>
    <t>大族激光</t>
    <phoneticPr fontId="14" type="noConversion"/>
  </si>
  <si>
    <t>002025.SZ</t>
    <phoneticPr fontId="14" type="noConversion"/>
  </si>
  <si>
    <t>航天电器</t>
    <phoneticPr fontId="14" type="noConversion"/>
  </si>
  <si>
    <t>002032.SZ</t>
    <phoneticPr fontId="14" type="noConversion"/>
  </si>
  <si>
    <t>苏泊尔</t>
    <phoneticPr fontId="14" type="noConversion"/>
  </si>
  <si>
    <t>002044.SZ</t>
    <phoneticPr fontId="14" type="noConversion"/>
  </si>
  <si>
    <t>美年健康</t>
    <phoneticPr fontId="14" type="noConversion"/>
  </si>
  <si>
    <t>002056.SZ</t>
    <phoneticPr fontId="14" type="noConversion"/>
  </si>
  <si>
    <t>横店东磁</t>
    <phoneticPr fontId="14" type="noConversion"/>
  </si>
  <si>
    <t>002064.SZ</t>
    <phoneticPr fontId="14" type="noConversion"/>
  </si>
  <si>
    <t>华峰化学</t>
    <phoneticPr fontId="14" type="noConversion"/>
  </si>
  <si>
    <t>002065.SZ</t>
    <phoneticPr fontId="14" type="noConversion"/>
  </si>
  <si>
    <t>东华软件</t>
    <phoneticPr fontId="14" type="noConversion"/>
  </si>
  <si>
    <t>002078.SZ</t>
    <phoneticPr fontId="14" type="noConversion"/>
  </si>
  <si>
    <t>太阳纸业</t>
    <phoneticPr fontId="14" type="noConversion"/>
  </si>
  <si>
    <t>002080.SZ</t>
    <phoneticPr fontId="14" type="noConversion"/>
  </si>
  <si>
    <t>中材科技</t>
    <phoneticPr fontId="14" type="noConversion"/>
  </si>
  <si>
    <t>002085.SZ</t>
    <phoneticPr fontId="14" type="noConversion"/>
  </si>
  <si>
    <t>万丰奥威</t>
    <phoneticPr fontId="14" type="noConversion"/>
  </si>
  <si>
    <t>002120.SZ</t>
    <phoneticPr fontId="14" type="noConversion"/>
  </si>
  <si>
    <t>韵达股份</t>
    <phoneticPr fontId="14" type="noConversion"/>
  </si>
  <si>
    <t>002126.SZ</t>
    <phoneticPr fontId="14" type="noConversion"/>
  </si>
  <si>
    <t>银轮股份</t>
    <phoneticPr fontId="14" type="noConversion"/>
  </si>
  <si>
    <t>002128.SZ</t>
    <phoneticPr fontId="14" type="noConversion"/>
  </si>
  <si>
    <t>电投能源</t>
    <phoneticPr fontId="14" type="noConversion"/>
  </si>
  <si>
    <t>002130.SZ</t>
    <phoneticPr fontId="14" type="noConversion"/>
  </si>
  <si>
    <t>沃尔核材</t>
    <phoneticPr fontId="14" type="noConversion"/>
  </si>
  <si>
    <t>002131.SZ</t>
    <phoneticPr fontId="14" type="noConversion"/>
  </si>
  <si>
    <t>利欧股份</t>
    <phoneticPr fontId="14" type="noConversion"/>
  </si>
  <si>
    <t>002138.SZ</t>
    <phoneticPr fontId="14" type="noConversion"/>
  </si>
  <si>
    <t>顺络电子</t>
    <phoneticPr fontId="14" type="noConversion"/>
  </si>
  <si>
    <t>002152.SZ</t>
    <phoneticPr fontId="14" type="noConversion"/>
  </si>
  <si>
    <t>广电运通</t>
    <phoneticPr fontId="14" type="noConversion"/>
  </si>
  <si>
    <t>002153.SZ</t>
    <phoneticPr fontId="14" type="noConversion"/>
  </si>
  <si>
    <t>石基信息</t>
    <phoneticPr fontId="14" type="noConversion"/>
  </si>
  <si>
    <t>002155.SZ</t>
    <phoneticPr fontId="14" type="noConversion"/>
  </si>
  <si>
    <t>湖南黄金</t>
    <phoneticPr fontId="14" type="noConversion"/>
  </si>
  <si>
    <t>002156.SZ</t>
    <phoneticPr fontId="14" type="noConversion"/>
  </si>
  <si>
    <t>通富微电</t>
    <phoneticPr fontId="14" type="noConversion"/>
  </si>
  <si>
    <t>002157.SZ</t>
    <phoneticPr fontId="14" type="noConversion"/>
  </si>
  <si>
    <t>正邦科技</t>
    <phoneticPr fontId="14" type="noConversion"/>
  </si>
  <si>
    <t>002185.SZ</t>
    <phoneticPr fontId="14" type="noConversion"/>
  </si>
  <si>
    <t>华天科技</t>
    <phoneticPr fontId="14" type="noConversion"/>
  </si>
  <si>
    <t>002195.SZ</t>
    <phoneticPr fontId="14" type="noConversion"/>
  </si>
  <si>
    <t>岩山科技</t>
    <phoneticPr fontId="14" type="noConversion"/>
  </si>
  <si>
    <t>002202.SZ</t>
    <phoneticPr fontId="14" type="noConversion"/>
  </si>
  <si>
    <t>金风科技</t>
    <phoneticPr fontId="14" type="noConversion"/>
  </si>
  <si>
    <t>002203.SZ</t>
    <phoneticPr fontId="14" type="noConversion"/>
  </si>
  <si>
    <t>海亮股份</t>
    <phoneticPr fontId="14" type="noConversion"/>
  </si>
  <si>
    <t>鱼跃医疗</t>
    <phoneticPr fontId="14" type="noConversion"/>
  </si>
  <si>
    <t>002244.SZ</t>
    <phoneticPr fontId="14" type="noConversion"/>
  </si>
  <si>
    <t>滨江集团</t>
    <phoneticPr fontId="14" type="noConversion"/>
  </si>
  <si>
    <t>002261.SZ</t>
    <phoneticPr fontId="14" type="noConversion"/>
  </si>
  <si>
    <t>拓维信息</t>
    <phoneticPr fontId="14" type="noConversion"/>
  </si>
  <si>
    <t>恩华药业</t>
    <phoneticPr fontId="14" type="noConversion"/>
  </si>
  <si>
    <t>002265.SZ</t>
    <phoneticPr fontId="14" type="noConversion"/>
  </si>
  <si>
    <t>建设工业</t>
    <phoneticPr fontId="14" type="noConversion"/>
  </si>
  <si>
    <t>002266.SZ</t>
    <phoneticPr fontId="14" type="noConversion"/>
  </si>
  <si>
    <t>浙富控股</t>
    <phoneticPr fontId="14" type="noConversion"/>
  </si>
  <si>
    <t>002271.SZ</t>
    <phoneticPr fontId="14" type="noConversion"/>
  </si>
  <si>
    <t>东方雨虹</t>
    <phoneticPr fontId="14" type="noConversion"/>
  </si>
  <si>
    <t>002273.SZ</t>
    <phoneticPr fontId="14" type="noConversion"/>
  </si>
  <si>
    <t>水晶光电</t>
    <phoneticPr fontId="14" type="noConversion"/>
  </si>
  <si>
    <t>002281.SZ</t>
    <phoneticPr fontId="14" type="noConversion"/>
  </si>
  <si>
    <t>光迅科技</t>
    <phoneticPr fontId="14" type="noConversion"/>
  </si>
  <si>
    <t>002294.SZ</t>
    <phoneticPr fontId="14" type="noConversion"/>
  </si>
  <si>
    <t>信立泰</t>
    <phoneticPr fontId="14" type="noConversion"/>
  </si>
  <si>
    <t>002299.SZ</t>
    <phoneticPr fontId="14" type="noConversion"/>
  </si>
  <si>
    <t>圣农发展</t>
    <phoneticPr fontId="14" type="noConversion"/>
  </si>
  <si>
    <t>002312.SZ</t>
    <phoneticPr fontId="14" type="noConversion"/>
  </si>
  <si>
    <t>川发龙蟒</t>
    <phoneticPr fontId="14" type="noConversion"/>
  </si>
  <si>
    <t>002318.SZ</t>
    <phoneticPr fontId="14" type="noConversion"/>
  </si>
  <si>
    <t>久立特材</t>
    <phoneticPr fontId="14" type="noConversion"/>
  </si>
  <si>
    <t>002335.SZ</t>
    <phoneticPr fontId="14" type="noConversion"/>
  </si>
  <si>
    <t>科华数据</t>
    <phoneticPr fontId="14" type="noConversion"/>
  </si>
  <si>
    <t>002340.SZ</t>
    <phoneticPr fontId="14" type="noConversion"/>
  </si>
  <si>
    <t>格林美</t>
    <phoneticPr fontId="14" type="noConversion"/>
  </si>
  <si>
    <t>002353.SZ</t>
    <phoneticPr fontId="14" type="noConversion"/>
  </si>
  <si>
    <t>杰瑞股份</t>
    <phoneticPr fontId="14" type="noConversion"/>
  </si>
  <si>
    <t>002372.SZ</t>
    <phoneticPr fontId="14" type="noConversion"/>
  </si>
  <si>
    <t>伟星新材</t>
    <phoneticPr fontId="14" type="noConversion"/>
  </si>
  <si>
    <t>002385.SZ</t>
    <phoneticPr fontId="14" type="noConversion"/>
  </si>
  <si>
    <t>大北农</t>
    <phoneticPr fontId="14" type="noConversion"/>
  </si>
  <si>
    <t>002402.SZ</t>
    <phoneticPr fontId="14" type="noConversion"/>
  </si>
  <si>
    <t>和而泰</t>
    <phoneticPr fontId="14" type="noConversion"/>
  </si>
  <si>
    <t>002409.SZ</t>
    <phoneticPr fontId="14" type="noConversion"/>
  </si>
  <si>
    <t>雅克科技</t>
    <phoneticPr fontId="14" type="noConversion"/>
  </si>
  <si>
    <t>002410.SZ</t>
    <phoneticPr fontId="14" type="noConversion"/>
  </si>
  <si>
    <t>广联达</t>
    <phoneticPr fontId="14" type="noConversion"/>
  </si>
  <si>
    <t>002414.SZ</t>
    <phoneticPr fontId="14" type="noConversion"/>
  </si>
  <si>
    <t>高德红外</t>
    <phoneticPr fontId="14" type="noConversion"/>
  </si>
  <si>
    <t>002423.SZ</t>
    <phoneticPr fontId="14" type="noConversion"/>
  </si>
  <si>
    <t>002429.SZ</t>
    <phoneticPr fontId="14" type="noConversion"/>
  </si>
  <si>
    <t>兆驰股份</t>
    <phoneticPr fontId="14" type="noConversion"/>
  </si>
  <si>
    <t>002430.SZ</t>
    <phoneticPr fontId="14" type="noConversion"/>
  </si>
  <si>
    <t>杭氧股份</t>
    <phoneticPr fontId="14" type="noConversion"/>
  </si>
  <si>
    <t>002432.SZ</t>
    <phoneticPr fontId="14" type="noConversion"/>
  </si>
  <si>
    <t>九安医疗</t>
    <phoneticPr fontId="14" type="noConversion"/>
  </si>
  <si>
    <t>002436.SZ</t>
    <phoneticPr fontId="14" type="noConversion"/>
  </si>
  <si>
    <t>兴森科技</t>
    <phoneticPr fontId="14" type="noConversion"/>
  </si>
  <si>
    <t>002439.SZ</t>
    <phoneticPr fontId="14" type="noConversion"/>
  </si>
  <si>
    <t>启明星辰</t>
    <phoneticPr fontId="14" type="noConversion"/>
  </si>
  <si>
    <t>002444.SZ</t>
    <phoneticPr fontId="14" type="noConversion"/>
  </si>
  <si>
    <t>巨星科技</t>
    <phoneticPr fontId="14" type="noConversion"/>
  </si>
  <si>
    <t>002461.SZ</t>
    <phoneticPr fontId="14" type="noConversion"/>
  </si>
  <si>
    <t>珠江啤酒</t>
    <phoneticPr fontId="14" type="noConversion"/>
  </si>
  <si>
    <t>002465.SZ</t>
    <phoneticPr fontId="14" type="noConversion"/>
  </si>
  <si>
    <t>海格通信</t>
    <phoneticPr fontId="14" type="noConversion"/>
  </si>
  <si>
    <t>002472.SZ</t>
    <phoneticPr fontId="14" type="noConversion"/>
  </si>
  <si>
    <t>双环传动</t>
    <phoneticPr fontId="14" type="noConversion"/>
  </si>
  <si>
    <t>002500.SZ</t>
    <phoneticPr fontId="14" type="noConversion"/>
  </si>
  <si>
    <t>山西证券</t>
    <phoneticPr fontId="14" type="noConversion"/>
  </si>
  <si>
    <t>002508.SZ</t>
    <phoneticPr fontId="14" type="noConversion"/>
  </si>
  <si>
    <t>老板电器</t>
    <phoneticPr fontId="14" type="noConversion"/>
  </si>
  <si>
    <t>002517.SZ</t>
    <phoneticPr fontId="14" type="noConversion"/>
  </si>
  <si>
    <t>恺英网络</t>
    <phoneticPr fontId="14" type="noConversion"/>
  </si>
  <si>
    <t>002532.SZ</t>
    <phoneticPr fontId="14" type="noConversion"/>
  </si>
  <si>
    <t>天山铝业</t>
    <phoneticPr fontId="14" type="noConversion"/>
  </si>
  <si>
    <t>002558.SZ</t>
    <phoneticPr fontId="14" type="noConversion"/>
  </si>
  <si>
    <t>巨人网络</t>
    <phoneticPr fontId="14" type="noConversion"/>
  </si>
  <si>
    <t>002568.SZ</t>
    <phoneticPr fontId="14" type="noConversion"/>
  </si>
  <si>
    <t>百润股份</t>
    <phoneticPr fontId="14" type="noConversion"/>
  </si>
  <si>
    <t>002583.SZ</t>
    <phoneticPr fontId="14" type="noConversion"/>
  </si>
  <si>
    <t>海能达</t>
    <phoneticPr fontId="14" type="noConversion"/>
  </si>
  <si>
    <t>002595.SZ</t>
    <phoneticPr fontId="14" type="noConversion"/>
  </si>
  <si>
    <t>豪迈科技</t>
    <phoneticPr fontId="14" type="noConversion"/>
  </si>
  <si>
    <t>002603.SZ</t>
    <phoneticPr fontId="14" type="noConversion"/>
  </si>
  <si>
    <t>以岭药业</t>
    <phoneticPr fontId="14" type="noConversion"/>
  </si>
  <si>
    <t>002607.SZ</t>
    <phoneticPr fontId="14" type="noConversion"/>
  </si>
  <si>
    <t>中公教育</t>
    <phoneticPr fontId="14" type="noConversion"/>
  </si>
  <si>
    <t>002608.SZ</t>
    <phoneticPr fontId="14" type="noConversion"/>
  </si>
  <si>
    <t>江苏国信</t>
    <phoneticPr fontId="14" type="noConversion"/>
  </si>
  <si>
    <t>002624.SZ</t>
    <phoneticPr fontId="14" type="noConversion"/>
  </si>
  <si>
    <t>完美世界</t>
    <phoneticPr fontId="14" type="noConversion"/>
  </si>
  <si>
    <t>国盛证券</t>
    <phoneticPr fontId="14" type="noConversion"/>
  </si>
  <si>
    <t>002673.SZ</t>
    <phoneticPr fontId="14" type="noConversion"/>
  </si>
  <si>
    <t>西部证券</t>
    <phoneticPr fontId="14" type="noConversion"/>
  </si>
  <si>
    <t>002683.SZ</t>
    <phoneticPr fontId="14" type="noConversion"/>
  </si>
  <si>
    <t>广东宏大</t>
    <phoneticPr fontId="14" type="noConversion"/>
  </si>
  <si>
    <t>002738.SZ</t>
    <phoneticPr fontId="14" type="noConversion"/>
  </si>
  <si>
    <t>中矿资源</t>
    <phoneticPr fontId="14" type="noConversion"/>
  </si>
  <si>
    <t>002739.SZ</t>
    <phoneticPr fontId="14" type="noConversion"/>
  </si>
  <si>
    <t>万达电影</t>
    <phoneticPr fontId="14" type="noConversion"/>
  </si>
  <si>
    <t>002756.SZ</t>
    <phoneticPr fontId="14" type="noConversion"/>
  </si>
  <si>
    <t>永兴材料</t>
    <phoneticPr fontId="14" type="noConversion"/>
  </si>
  <si>
    <t>002773.SZ</t>
    <phoneticPr fontId="14" type="noConversion"/>
  </si>
  <si>
    <t>康弘药业</t>
    <phoneticPr fontId="14" type="noConversion"/>
  </si>
  <si>
    <t>002797.SZ</t>
    <phoneticPr fontId="14" type="noConversion"/>
  </si>
  <si>
    <t>第一创业</t>
    <phoneticPr fontId="14" type="noConversion"/>
  </si>
  <si>
    <t>002821.SZ</t>
    <phoneticPr fontId="14" type="noConversion"/>
  </si>
  <si>
    <t>凯莱英</t>
    <phoneticPr fontId="14" type="noConversion"/>
  </si>
  <si>
    <t>002831.SZ</t>
    <phoneticPr fontId="14" type="noConversion"/>
  </si>
  <si>
    <t>裕同科技</t>
    <phoneticPr fontId="14" type="noConversion"/>
  </si>
  <si>
    <t>002837.SZ</t>
    <phoneticPr fontId="14" type="noConversion"/>
  </si>
  <si>
    <t>英维克</t>
    <phoneticPr fontId="14" type="noConversion"/>
  </si>
  <si>
    <t>002841.SZ</t>
    <phoneticPr fontId="14" type="noConversion"/>
  </si>
  <si>
    <t>视源股份</t>
    <phoneticPr fontId="14" type="noConversion"/>
  </si>
  <si>
    <t>002850.SZ</t>
    <phoneticPr fontId="14" type="noConversion"/>
  </si>
  <si>
    <t>002851.SZ</t>
    <phoneticPr fontId="14" type="noConversion"/>
  </si>
  <si>
    <t>麦格米特</t>
    <phoneticPr fontId="14" type="noConversion"/>
  </si>
  <si>
    <t>002926.SZ</t>
    <phoneticPr fontId="14" type="noConversion"/>
  </si>
  <si>
    <t>华西证券</t>
    <phoneticPr fontId="14" type="noConversion"/>
  </si>
  <si>
    <t>002939.SZ</t>
    <phoneticPr fontId="14" type="noConversion"/>
  </si>
  <si>
    <t>长城证券</t>
    <phoneticPr fontId="14" type="noConversion"/>
  </si>
  <si>
    <t>002945.SZ</t>
    <phoneticPr fontId="14" type="noConversion"/>
  </si>
  <si>
    <t>华林证券</t>
    <phoneticPr fontId="14" type="noConversion"/>
  </si>
  <si>
    <t>002958.SZ</t>
    <phoneticPr fontId="14" type="noConversion"/>
  </si>
  <si>
    <t>青农商行</t>
    <phoneticPr fontId="14" type="noConversion"/>
  </si>
  <si>
    <t>002966.SZ</t>
    <phoneticPr fontId="14" type="noConversion"/>
  </si>
  <si>
    <t>苏州银行</t>
    <phoneticPr fontId="14" type="noConversion"/>
  </si>
  <si>
    <t>002984.SZ</t>
    <phoneticPr fontId="14" type="noConversion"/>
  </si>
  <si>
    <t>森麒麟</t>
    <phoneticPr fontId="14" type="noConversion"/>
  </si>
  <si>
    <t>003021.SZ</t>
    <phoneticPr fontId="14" type="noConversion"/>
  </si>
  <si>
    <t>兆威机电</t>
    <phoneticPr fontId="14" type="noConversion"/>
  </si>
  <si>
    <t>003022.SZ</t>
    <phoneticPr fontId="14" type="noConversion"/>
  </si>
  <si>
    <t>联泓新科</t>
    <phoneticPr fontId="14" type="noConversion"/>
  </si>
  <si>
    <t>003031.SZ</t>
    <phoneticPr fontId="14" type="noConversion"/>
  </si>
  <si>
    <t>中瓷电子</t>
    <phoneticPr fontId="14" type="noConversion"/>
  </si>
  <si>
    <t>003035.SZ</t>
    <phoneticPr fontId="14" type="noConversion"/>
  </si>
  <si>
    <t>南网能源</t>
    <phoneticPr fontId="14" type="noConversion"/>
  </si>
  <si>
    <t>300070.SZ</t>
    <phoneticPr fontId="14" type="noConversion"/>
  </si>
  <si>
    <t>碧水源</t>
    <phoneticPr fontId="14" type="noConversion"/>
  </si>
  <si>
    <t>300140.SZ</t>
    <phoneticPr fontId="14" type="noConversion"/>
  </si>
  <si>
    <t>节能环境</t>
    <phoneticPr fontId="14" type="noConversion"/>
  </si>
  <si>
    <t>300390.SZ</t>
    <phoneticPr fontId="14" type="noConversion"/>
  </si>
  <si>
    <t>天华新能</t>
    <phoneticPr fontId="14" type="noConversion"/>
  </si>
  <si>
    <t>300570.SZ</t>
    <phoneticPr fontId="14" type="noConversion"/>
  </si>
  <si>
    <t>太辰光</t>
    <phoneticPr fontId="14" type="noConversion"/>
  </si>
  <si>
    <t>300623.SZ</t>
    <phoneticPr fontId="14" type="noConversion"/>
  </si>
  <si>
    <t>捷捷微电</t>
    <phoneticPr fontId="14" type="noConversion"/>
  </si>
  <si>
    <t>300757.SZ</t>
    <phoneticPr fontId="14" type="noConversion"/>
  </si>
  <si>
    <t>罗博特科</t>
    <phoneticPr fontId="14" type="noConversion"/>
  </si>
  <si>
    <t>600004.SH</t>
    <phoneticPr fontId="14" type="noConversion"/>
  </si>
  <si>
    <t>白云机场</t>
    <phoneticPr fontId="14" type="noConversion"/>
  </si>
  <si>
    <t>600007.SH</t>
    <phoneticPr fontId="14" type="noConversion"/>
  </si>
  <si>
    <t>中国国贸</t>
    <phoneticPr fontId="14" type="noConversion"/>
  </si>
  <si>
    <t>600008.SH</t>
    <phoneticPr fontId="14" type="noConversion"/>
  </si>
  <si>
    <t>首创环保</t>
    <phoneticPr fontId="14" type="noConversion"/>
  </si>
  <si>
    <t>600021.SH</t>
    <phoneticPr fontId="14" type="noConversion"/>
  </si>
  <si>
    <t>上海电力</t>
    <phoneticPr fontId="14" type="noConversion"/>
  </si>
  <si>
    <t>600032.SH</t>
    <phoneticPr fontId="14" type="noConversion"/>
  </si>
  <si>
    <t>浙江新能</t>
    <phoneticPr fontId="14" type="noConversion"/>
  </si>
  <si>
    <t>600038.SH</t>
    <phoneticPr fontId="14" type="noConversion"/>
  </si>
  <si>
    <t>中直股份</t>
    <phoneticPr fontId="14" type="noConversion"/>
  </si>
  <si>
    <t>600060.SH</t>
    <phoneticPr fontId="14" type="noConversion"/>
  </si>
  <si>
    <t>海信视像</t>
    <phoneticPr fontId="14" type="noConversion"/>
  </si>
  <si>
    <t>600062.SH</t>
    <phoneticPr fontId="14" type="noConversion"/>
  </si>
  <si>
    <t>华润双鹤</t>
    <phoneticPr fontId="14" type="noConversion"/>
  </si>
  <si>
    <t>600095.SH</t>
    <phoneticPr fontId="14" type="noConversion"/>
  </si>
  <si>
    <t>湘财股份</t>
    <phoneticPr fontId="14" type="noConversion"/>
  </si>
  <si>
    <t>600096.SH</t>
    <phoneticPr fontId="14" type="noConversion"/>
  </si>
  <si>
    <t>云天化</t>
    <phoneticPr fontId="14" type="noConversion"/>
  </si>
  <si>
    <t>600098.SH</t>
    <phoneticPr fontId="14" type="noConversion"/>
  </si>
  <si>
    <t>广州发展</t>
    <phoneticPr fontId="14" type="noConversion"/>
  </si>
  <si>
    <t>600109.SH</t>
    <phoneticPr fontId="14" type="noConversion"/>
  </si>
  <si>
    <t>国金证券</t>
    <phoneticPr fontId="14" type="noConversion"/>
  </si>
  <si>
    <t>600118.SH</t>
    <phoneticPr fontId="14" type="noConversion"/>
  </si>
  <si>
    <t>中国卫星</t>
    <phoneticPr fontId="14" type="noConversion"/>
  </si>
  <si>
    <t>600126.SH</t>
    <phoneticPr fontId="14" type="noConversion"/>
  </si>
  <si>
    <t>杭钢股份</t>
    <phoneticPr fontId="14" type="noConversion"/>
  </si>
  <si>
    <t>600131.SH</t>
    <phoneticPr fontId="14" type="noConversion"/>
  </si>
  <si>
    <t>国网信通</t>
    <phoneticPr fontId="14" type="noConversion"/>
  </si>
  <si>
    <t>600132.SH</t>
    <phoneticPr fontId="14" type="noConversion"/>
  </si>
  <si>
    <t>重庆啤酒</t>
    <phoneticPr fontId="14" type="noConversion"/>
  </si>
  <si>
    <t>600141.SH</t>
    <phoneticPr fontId="14" type="noConversion"/>
  </si>
  <si>
    <t>兴发集团</t>
    <phoneticPr fontId="14" type="noConversion"/>
  </si>
  <si>
    <t>600143.SH</t>
    <phoneticPr fontId="14" type="noConversion"/>
  </si>
  <si>
    <t>金发科技</t>
    <phoneticPr fontId="14" type="noConversion"/>
  </si>
  <si>
    <t>600153.SH</t>
    <phoneticPr fontId="14" type="noConversion"/>
  </si>
  <si>
    <t>建发股份</t>
    <phoneticPr fontId="14" type="noConversion"/>
  </si>
  <si>
    <t>600157.SH</t>
    <phoneticPr fontId="14" type="noConversion"/>
  </si>
  <si>
    <t>永泰能源</t>
    <phoneticPr fontId="14" type="noConversion"/>
  </si>
  <si>
    <t>600166.SH</t>
    <phoneticPr fontId="14" type="noConversion"/>
  </si>
  <si>
    <t>福田汽车</t>
    <phoneticPr fontId="14" type="noConversion"/>
  </si>
  <si>
    <t>600170.SH</t>
    <phoneticPr fontId="14" type="noConversion"/>
  </si>
  <si>
    <t>上海建工</t>
    <phoneticPr fontId="14" type="noConversion"/>
  </si>
  <si>
    <t>600171.SH</t>
    <phoneticPr fontId="14" type="noConversion"/>
  </si>
  <si>
    <t>上海贝岭</t>
    <phoneticPr fontId="14" type="noConversion"/>
  </si>
  <si>
    <t>600177.SH</t>
    <phoneticPr fontId="14" type="noConversion"/>
  </si>
  <si>
    <t>雅戈尔</t>
    <phoneticPr fontId="14" type="noConversion"/>
  </si>
  <si>
    <t>600208.SH</t>
    <phoneticPr fontId="14" type="noConversion"/>
  </si>
  <si>
    <t>衢州发展</t>
    <phoneticPr fontId="14" type="noConversion"/>
  </si>
  <si>
    <t>600282.SH</t>
    <phoneticPr fontId="14" type="noConversion"/>
  </si>
  <si>
    <t>南钢股份</t>
    <phoneticPr fontId="14" type="noConversion"/>
  </si>
  <si>
    <t>600295.SH</t>
    <phoneticPr fontId="14" type="noConversion"/>
  </si>
  <si>
    <t>鄂尔多斯</t>
    <phoneticPr fontId="14" type="noConversion"/>
  </si>
  <si>
    <t>600298.SH</t>
    <phoneticPr fontId="14" type="noConversion"/>
  </si>
  <si>
    <t>安琪酵母</t>
    <phoneticPr fontId="14" type="noConversion"/>
  </si>
  <si>
    <t>600299.SH</t>
    <phoneticPr fontId="14" type="noConversion"/>
  </si>
  <si>
    <t>安迪苏</t>
    <phoneticPr fontId="14" type="noConversion"/>
  </si>
  <si>
    <t>600312.SH</t>
    <phoneticPr fontId="14" type="noConversion"/>
  </si>
  <si>
    <t>平高电气</t>
    <phoneticPr fontId="14" type="noConversion"/>
  </si>
  <si>
    <t>600316.SH</t>
    <phoneticPr fontId="14" type="noConversion"/>
  </si>
  <si>
    <t>洪都航空</t>
    <phoneticPr fontId="14" type="noConversion"/>
  </si>
  <si>
    <t>600329.SH</t>
    <phoneticPr fontId="14" type="noConversion"/>
  </si>
  <si>
    <t>达仁堂</t>
    <phoneticPr fontId="14" type="noConversion"/>
  </si>
  <si>
    <t>600332.SH</t>
    <phoneticPr fontId="14" type="noConversion"/>
  </si>
  <si>
    <t>白云山</t>
    <phoneticPr fontId="14" type="noConversion"/>
  </si>
  <si>
    <t>600339.SH</t>
    <phoneticPr fontId="14" type="noConversion"/>
  </si>
  <si>
    <t>中油工程</t>
    <phoneticPr fontId="14" type="noConversion"/>
  </si>
  <si>
    <t>600348.SH</t>
    <phoneticPr fontId="14" type="noConversion"/>
  </si>
  <si>
    <t>华阳股份</t>
    <phoneticPr fontId="14" type="noConversion"/>
  </si>
  <si>
    <t>600352.SH</t>
    <phoneticPr fontId="14" type="noConversion"/>
  </si>
  <si>
    <t>浙江龙盛</t>
    <phoneticPr fontId="14" type="noConversion"/>
  </si>
  <si>
    <t>600363.SH</t>
    <phoneticPr fontId="14" type="noConversion"/>
  </si>
  <si>
    <t>联创光电</t>
    <phoneticPr fontId="14" type="noConversion"/>
  </si>
  <si>
    <t>600369.SH</t>
    <phoneticPr fontId="14" type="noConversion"/>
  </si>
  <si>
    <t>西南证券</t>
    <phoneticPr fontId="14" type="noConversion"/>
  </si>
  <si>
    <t>600378.SH</t>
    <phoneticPr fontId="14" type="noConversion"/>
  </si>
  <si>
    <t>昊华科技</t>
    <phoneticPr fontId="14" type="noConversion"/>
  </si>
  <si>
    <t>600380.SH</t>
    <phoneticPr fontId="14" type="noConversion"/>
  </si>
  <si>
    <t>健康元</t>
    <phoneticPr fontId="14" type="noConversion"/>
  </si>
  <si>
    <t>600390.SH</t>
    <phoneticPr fontId="14" type="noConversion"/>
  </si>
  <si>
    <t>五矿资本</t>
    <phoneticPr fontId="14" type="noConversion"/>
  </si>
  <si>
    <t>600392.SH</t>
    <phoneticPr fontId="14" type="noConversion"/>
  </si>
  <si>
    <t>盛和资源</t>
    <phoneticPr fontId="14" type="noConversion"/>
  </si>
  <si>
    <t>600398.SH</t>
    <phoneticPr fontId="14" type="noConversion"/>
  </si>
  <si>
    <t>海澜之家</t>
    <phoneticPr fontId="14" type="noConversion"/>
  </si>
  <si>
    <t>600435.SH</t>
    <phoneticPr fontId="14" type="noConversion"/>
  </si>
  <si>
    <t>北方导航</t>
    <phoneticPr fontId="14" type="noConversion"/>
  </si>
  <si>
    <t>600483.SH</t>
    <phoneticPr fontId="14" type="noConversion"/>
  </si>
  <si>
    <t>福能股份</t>
    <phoneticPr fontId="14" type="noConversion"/>
  </si>
  <si>
    <t>600486.SH</t>
    <phoneticPr fontId="14" type="noConversion"/>
  </si>
  <si>
    <t>扬农化工</t>
    <phoneticPr fontId="14" type="noConversion"/>
  </si>
  <si>
    <t>600487.SH</t>
    <phoneticPr fontId="14" type="noConversion"/>
  </si>
  <si>
    <t>亨通光电</t>
    <phoneticPr fontId="14" type="noConversion"/>
  </si>
  <si>
    <t>600497.SH</t>
    <phoneticPr fontId="14" type="noConversion"/>
  </si>
  <si>
    <t>驰宏锌锗</t>
    <phoneticPr fontId="14" type="noConversion"/>
  </si>
  <si>
    <t>600498.SH</t>
    <phoneticPr fontId="14" type="noConversion"/>
  </si>
  <si>
    <t>烽火通信</t>
    <phoneticPr fontId="14" type="noConversion"/>
  </si>
  <si>
    <t>600499.SH</t>
    <phoneticPr fontId="14" type="noConversion"/>
  </si>
  <si>
    <t>科达制造</t>
    <phoneticPr fontId="14" type="noConversion"/>
  </si>
  <si>
    <t>600511.SH</t>
    <phoneticPr fontId="14" type="noConversion"/>
  </si>
  <si>
    <t>国药股份</t>
    <phoneticPr fontId="14" type="noConversion"/>
  </si>
  <si>
    <t>600516.SH</t>
    <phoneticPr fontId="14" type="noConversion"/>
  </si>
  <si>
    <t>方大炭素</t>
    <phoneticPr fontId="14" type="noConversion"/>
  </si>
  <si>
    <t>600517.SH</t>
    <phoneticPr fontId="14" type="noConversion"/>
  </si>
  <si>
    <t>国网英大</t>
    <phoneticPr fontId="14" type="noConversion"/>
  </si>
  <si>
    <t>600521.SH</t>
    <phoneticPr fontId="14" type="noConversion"/>
  </si>
  <si>
    <t>华海药业</t>
    <phoneticPr fontId="14" type="noConversion"/>
  </si>
  <si>
    <t>600528.SH</t>
    <phoneticPr fontId="14" type="noConversion"/>
  </si>
  <si>
    <t>中铁工业</t>
    <phoneticPr fontId="14" type="noConversion"/>
  </si>
  <si>
    <t>600535.SH</t>
    <phoneticPr fontId="14" type="noConversion"/>
  </si>
  <si>
    <t>天士力</t>
    <phoneticPr fontId="14" type="noConversion"/>
  </si>
  <si>
    <t>600536.SH</t>
    <phoneticPr fontId="14" type="noConversion"/>
  </si>
  <si>
    <t>中国软件</t>
    <phoneticPr fontId="14" type="noConversion"/>
  </si>
  <si>
    <t>600546.SH</t>
    <phoneticPr fontId="14" type="noConversion"/>
  </si>
  <si>
    <t>山煤国际</t>
    <phoneticPr fontId="14" type="noConversion"/>
  </si>
  <si>
    <t>600549.SH</t>
    <phoneticPr fontId="14" type="noConversion"/>
  </si>
  <si>
    <t>厦门钨业</t>
    <phoneticPr fontId="14" type="noConversion"/>
  </si>
  <si>
    <t>600562.SH</t>
    <phoneticPr fontId="14" type="noConversion"/>
  </si>
  <si>
    <t>国睿科技</t>
    <phoneticPr fontId="14" type="noConversion"/>
  </si>
  <si>
    <t>600563.SH</t>
    <phoneticPr fontId="14" type="noConversion"/>
  </si>
  <si>
    <t>法拉电子</t>
    <phoneticPr fontId="14" type="noConversion"/>
  </si>
  <si>
    <t>600566.SH</t>
    <phoneticPr fontId="14" type="noConversion"/>
  </si>
  <si>
    <t>济川药业</t>
    <phoneticPr fontId="14" type="noConversion"/>
  </si>
  <si>
    <t>600578.SH</t>
    <phoneticPr fontId="14" type="noConversion"/>
  </si>
  <si>
    <t>京能电力</t>
    <phoneticPr fontId="14" type="noConversion"/>
  </si>
  <si>
    <t>600580.SH</t>
    <phoneticPr fontId="14" type="noConversion"/>
  </si>
  <si>
    <t>卧龙电驱</t>
    <phoneticPr fontId="14" type="noConversion"/>
  </si>
  <si>
    <t>600582.SH</t>
    <phoneticPr fontId="14" type="noConversion"/>
  </si>
  <si>
    <t>天地科技</t>
    <phoneticPr fontId="14" type="noConversion"/>
  </si>
  <si>
    <t>600583.SH</t>
    <phoneticPr fontId="14" type="noConversion"/>
  </si>
  <si>
    <t>海油工程</t>
    <phoneticPr fontId="14" type="noConversion"/>
  </si>
  <si>
    <t>600598.SH</t>
    <phoneticPr fontId="14" type="noConversion"/>
  </si>
  <si>
    <t>北大荒</t>
    <phoneticPr fontId="14" type="noConversion"/>
  </si>
  <si>
    <t>600601.SH</t>
    <phoneticPr fontId="14" type="noConversion"/>
  </si>
  <si>
    <t>方正科技</t>
    <phoneticPr fontId="14" type="noConversion"/>
  </si>
  <si>
    <t>600602.SH</t>
    <phoneticPr fontId="14" type="noConversion"/>
  </si>
  <si>
    <t>云赛智联</t>
    <phoneticPr fontId="14" type="noConversion"/>
  </si>
  <si>
    <t>600606.SH</t>
    <phoneticPr fontId="14" type="noConversion"/>
  </si>
  <si>
    <t>绿地控股</t>
    <phoneticPr fontId="14" type="noConversion"/>
  </si>
  <si>
    <t>600637.SH</t>
    <phoneticPr fontId="14" type="noConversion"/>
  </si>
  <si>
    <t>东方明珠</t>
    <phoneticPr fontId="14" type="noConversion"/>
  </si>
  <si>
    <t>600642.SH</t>
    <phoneticPr fontId="14" type="noConversion"/>
  </si>
  <si>
    <t>申能股份</t>
    <phoneticPr fontId="14" type="noConversion"/>
  </si>
  <si>
    <t>600655.SH</t>
    <phoneticPr fontId="14" type="noConversion"/>
  </si>
  <si>
    <t>豫园股份</t>
    <phoneticPr fontId="14" type="noConversion"/>
  </si>
  <si>
    <t>600663.SH</t>
    <phoneticPr fontId="14" type="noConversion"/>
  </si>
  <si>
    <t>陆家嘴</t>
    <phoneticPr fontId="14" type="noConversion"/>
  </si>
  <si>
    <t>600673.SH</t>
    <phoneticPr fontId="14" type="noConversion"/>
  </si>
  <si>
    <t>东阳光</t>
    <phoneticPr fontId="14" type="noConversion"/>
  </si>
  <si>
    <t>600685.SH</t>
    <phoneticPr fontId="14" type="noConversion"/>
  </si>
  <si>
    <t>中船防务</t>
    <phoneticPr fontId="14" type="noConversion"/>
  </si>
  <si>
    <t>600688.SH</t>
    <phoneticPr fontId="14" type="noConversion"/>
  </si>
  <si>
    <t>上海石化</t>
    <phoneticPr fontId="14" type="noConversion"/>
  </si>
  <si>
    <t>600699.SH</t>
    <phoneticPr fontId="14" type="noConversion"/>
  </si>
  <si>
    <t>均胜电子</t>
    <phoneticPr fontId="14" type="noConversion"/>
  </si>
  <si>
    <t>600704.SH</t>
    <phoneticPr fontId="14" type="noConversion"/>
  </si>
  <si>
    <t>物产中大</t>
    <phoneticPr fontId="14" type="noConversion"/>
  </si>
  <si>
    <t>600707.SH</t>
    <phoneticPr fontId="14" type="noConversion"/>
  </si>
  <si>
    <t>彩虹股份</t>
    <phoneticPr fontId="14" type="noConversion"/>
  </si>
  <si>
    <t>600720.SH</t>
    <phoneticPr fontId="14" type="noConversion"/>
  </si>
  <si>
    <t>中交设计</t>
    <phoneticPr fontId="14" type="noConversion"/>
  </si>
  <si>
    <t>600737.SH</t>
    <phoneticPr fontId="14" type="noConversion"/>
  </si>
  <si>
    <t>中粮糖业</t>
    <phoneticPr fontId="14" type="noConversion"/>
  </si>
  <si>
    <t>600739.SH</t>
    <phoneticPr fontId="14" type="noConversion"/>
  </si>
  <si>
    <t>辽宁成大</t>
    <phoneticPr fontId="14" type="noConversion"/>
  </si>
  <si>
    <t>600754.SH</t>
    <phoneticPr fontId="14" type="noConversion"/>
  </si>
  <si>
    <t>锦江酒店</t>
    <phoneticPr fontId="14" type="noConversion"/>
  </si>
  <si>
    <t>600763.SH</t>
    <phoneticPr fontId="14" type="noConversion"/>
  </si>
  <si>
    <t>通策医疗</t>
    <phoneticPr fontId="14" type="noConversion"/>
  </si>
  <si>
    <t>600764.SH</t>
    <phoneticPr fontId="14" type="noConversion"/>
  </si>
  <si>
    <t>中国海防</t>
    <phoneticPr fontId="14" type="noConversion"/>
  </si>
  <si>
    <t>600765.SH</t>
    <phoneticPr fontId="14" type="noConversion"/>
  </si>
  <si>
    <t>中航重机</t>
    <phoneticPr fontId="14" type="noConversion"/>
  </si>
  <si>
    <t>600801.SH</t>
    <phoneticPr fontId="14" type="noConversion"/>
  </si>
  <si>
    <t>华新建材</t>
    <phoneticPr fontId="14" type="noConversion"/>
  </si>
  <si>
    <t>600808.SH</t>
    <phoneticPr fontId="14" type="noConversion"/>
  </si>
  <si>
    <t>马钢股份</t>
    <phoneticPr fontId="14" type="noConversion"/>
  </si>
  <si>
    <t>600816.SH</t>
    <phoneticPr fontId="14" type="noConversion"/>
  </si>
  <si>
    <t>建元信托</t>
    <phoneticPr fontId="14" type="noConversion"/>
  </si>
  <si>
    <t>600820.SH</t>
    <phoneticPr fontId="14" type="noConversion"/>
  </si>
  <si>
    <t>隧道股份</t>
    <phoneticPr fontId="14" type="noConversion"/>
  </si>
  <si>
    <t>600848.SH</t>
    <phoneticPr fontId="14" type="noConversion"/>
  </si>
  <si>
    <t>上海临港</t>
    <phoneticPr fontId="14" type="noConversion"/>
  </si>
  <si>
    <t>600862.SH</t>
    <phoneticPr fontId="14" type="noConversion"/>
  </si>
  <si>
    <t>中航高科</t>
    <phoneticPr fontId="14" type="noConversion"/>
  </si>
  <si>
    <t>600863.SH</t>
    <phoneticPr fontId="14" type="noConversion"/>
  </si>
  <si>
    <t>华能蒙电</t>
    <phoneticPr fontId="14" type="noConversion"/>
  </si>
  <si>
    <t>600871.SH</t>
    <phoneticPr fontId="14" type="noConversion"/>
  </si>
  <si>
    <t>石化油服</t>
    <phoneticPr fontId="14" type="noConversion"/>
  </si>
  <si>
    <t>600873.SH</t>
    <phoneticPr fontId="14" type="noConversion"/>
  </si>
  <si>
    <t>梅花生物</t>
    <phoneticPr fontId="14" type="noConversion"/>
  </si>
  <si>
    <t>600879.SH</t>
    <phoneticPr fontId="14" type="noConversion"/>
  </si>
  <si>
    <t>航天电子</t>
    <phoneticPr fontId="14" type="noConversion"/>
  </si>
  <si>
    <t>杉杉股份</t>
    <phoneticPr fontId="14" type="noConversion"/>
  </si>
  <si>
    <t>600885.SH</t>
    <phoneticPr fontId="14" type="noConversion"/>
  </si>
  <si>
    <t>宏发股份</t>
    <phoneticPr fontId="14" type="noConversion"/>
  </si>
  <si>
    <t>600901.SH</t>
    <phoneticPr fontId="14" type="noConversion"/>
  </si>
  <si>
    <t>江苏金租</t>
    <phoneticPr fontId="14" type="noConversion"/>
  </si>
  <si>
    <t>600906.SH</t>
    <phoneticPr fontId="14" type="noConversion"/>
  </si>
  <si>
    <t>财达证券</t>
    <phoneticPr fontId="14" type="noConversion"/>
  </si>
  <si>
    <t>600909.SH</t>
    <phoneticPr fontId="14" type="noConversion"/>
  </si>
  <si>
    <t>华安证券</t>
    <phoneticPr fontId="14" type="noConversion"/>
  </si>
  <si>
    <t>600927.SH</t>
    <phoneticPr fontId="14" type="noConversion"/>
  </si>
  <si>
    <t>永安期货</t>
    <phoneticPr fontId="14" type="noConversion"/>
  </si>
  <si>
    <t>600959.SH</t>
    <phoneticPr fontId="14" type="noConversion"/>
  </si>
  <si>
    <t>江苏有线</t>
    <phoneticPr fontId="14" type="noConversion"/>
  </si>
  <si>
    <t>600967.SH</t>
    <phoneticPr fontId="14" type="noConversion"/>
  </si>
  <si>
    <t>内蒙一机</t>
    <phoneticPr fontId="14" type="noConversion"/>
  </si>
  <si>
    <t>600968.SH</t>
    <phoneticPr fontId="14" type="noConversion"/>
  </si>
  <si>
    <t>海油发展</t>
    <phoneticPr fontId="14" type="noConversion"/>
  </si>
  <si>
    <t>600970.SH</t>
    <phoneticPr fontId="14" type="noConversion"/>
  </si>
  <si>
    <t>中材国际</t>
    <phoneticPr fontId="14" type="noConversion"/>
  </si>
  <si>
    <t>600977.SH</t>
    <phoneticPr fontId="14" type="noConversion"/>
  </si>
  <si>
    <t>中国电影</t>
    <phoneticPr fontId="14" type="noConversion"/>
  </si>
  <si>
    <t>600985.SH</t>
    <phoneticPr fontId="14" type="noConversion"/>
  </si>
  <si>
    <t>淮北矿业</t>
    <phoneticPr fontId="14" type="noConversion"/>
  </si>
  <si>
    <t>600988.SH</t>
    <phoneticPr fontId="14" type="noConversion"/>
  </si>
  <si>
    <t>赤峰黄金</t>
    <phoneticPr fontId="14" type="noConversion"/>
  </si>
  <si>
    <t>600995.SH</t>
    <phoneticPr fontId="14" type="noConversion"/>
  </si>
  <si>
    <t>南网储能</t>
    <phoneticPr fontId="14" type="noConversion"/>
  </si>
  <si>
    <t>600998.SH</t>
    <phoneticPr fontId="14" type="noConversion"/>
  </si>
  <si>
    <t>九州通</t>
    <phoneticPr fontId="14" type="noConversion"/>
  </si>
  <si>
    <t>601000.SH</t>
    <phoneticPr fontId="14" type="noConversion"/>
  </si>
  <si>
    <t>唐山港</t>
    <phoneticPr fontId="14" type="noConversion"/>
  </si>
  <si>
    <t>晋控煤业</t>
    <phoneticPr fontId="14" type="noConversion"/>
  </si>
  <si>
    <t>601016.SH</t>
    <phoneticPr fontId="14" type="noConversion"/>
  </si>
  <si>
    <t>节能风电</t>
    <phoneticPr fontId="14" type="noConversion"/>
  </si>
  <si>
    <t>601019.SH</t>
    <phoneticPr fontId="14" type="noConversion"/>
  </si>
  <si>
    <t>山东出版</t>
    <phoneticPr fontId="14" type="noConversion"/>
  </si>
  <si>
    <t>601061.SH</t>
    <phoneticPr fontId="14" type="noConversion"/>
  </si>
  <si>
    <t>中信金属</t>
    <phoneticPr fontId="14" type="noConversion"/>
  </si>
  <si>
    <t>601098.SH</t>
    <phoneticPr fontId="14" type="noConversion"/>
  </si>
  <si>
    <t>中南传媒</t>
    <phoneticPr fontId="14" type="noConversion"/>
  </si>
  <si>
    <t>601099.SH</t>
    <phoneticPr fontId="14" type="noConversion"/>
  </si>
  <si>
    <t>太平洋</t>
    <phoneticPr fontId="14" type="noConversion"/>
  </si>
  <si>
    <t>601106.SH</t>
    <phoneticPr fontId="14" type="noConversion"/>
  </si>
  <si>
    <t>中国一重</t>
    <phoneticPr fontId="14" type="noConversion"/>
  </si>
  <si>
    <t>601108.SH</t>
    <phoneticPr fontId="14" type="noConversion"/>
  </si>
  <si>
    <t>财通证券</t>
    <phoneticPr fontId="14" type="noConversion"/>
  </si>
  <si>
    <t>601118.SH</t>
    <phoneticPr fontId="14" type="noConversion"/>
  </si>
  <si>
    <t>海南橡胶</t>
    <phoneticPr fontId="14" type="noConversion"/>
  </si>
  <si>
    <t>601128.SH</t>
    <phoneticPr fontId="14" type="noConversion"/>
  </si>
  <si>
    <t>常熟银行</t>
    <phoneticPr fontId="14" type="noConversion"/>
  </si>
  <si>
    <t>601139.SH</t>
    <phoneticPr fontId="14" type="noConversion"/>
  </si>
  <si>
    <t>深圳燃气</t>
    <phoneticPr fontId="14" type="noConversion"/>
  </si>
  <si>
    <t>601155.SH</t>
    <phoneticPr fontId="14" type="noConversion"/>
  </si>
  <si>
    <t>新城控股</t>
    <phoneticPr fontId="14" type="noConversion"/>
  </si>
  <si>
    <t>601156.SH</t>
    <phoneticPr fontId="14" type="noConversion"/>
  </si>
  <si>
    <t>东航物流</t>
    <phoneticPr fontId="14" type="noConversion"/>
  </si>
  <si>
    <t>601162.SH</t>
    <phoneticPr fontId="14" type="noConversion"/>
  </si>
  <si>
    <t>天风证券</t>
    <phoneticPr fontId="14" type="noConversion"/>
  </si>
  <si>
    <t>601168.SH</t>
    <phoneticPr fontId="14" type="noConversion"/>
  </si>
  <si>
    <t>西部矿业</t>
    <phoneticPr fontId="14" type="noConversion"/>
  </si>
  <si>
    <t>601179.SH</t>
    <phoneticPr fontId="14" type="noConversion"/>
  </si>
  <si>
    <t>中国西电</t>
    <phoneticPr fontId="14" type="noConversion"/>
  </si>
  <si>
    <t>601198.SH</t>
    <phoneticPr fontId="14" type="noConversion"/>
  </si>
  <si>
    <t>东兴证券</t>
    <phoneticPr fontId="14" type="noConversion"/>
  </si>
  <si>
    <t>601212.SH</t>
    <phoneticPr fontId="14" type="noConversion"/>
  </si>
  <si>
    <t>白银有色</t>
    <phoneticPr fontId="14" type="noConversion"/>
  </si>
  <si>
    <t>601216.SH</t>
    <phoneticPr fontId="14" type="noConversion"/>
  </si>
  <si>
    <t>君正集团</t>
    <phoneticPr fontId="14" type="noConversion"/>
  </si>
  <si>
    <t>601228.SH</t>
    <phoneticPr fontId="14" type="noConversion"/>
  </si>
  <si>
    <t>广州港</t>
    <phoneticPr fontId="14" type="noConversion"/>
  </si>
  <si>
    <t>601231.SH</t>
    <phoneticPr fontId="14" type="noConversion"/>
  </si>
  <si>
    <t>环旭电子</t>
    <phoneticPr fontId="14" type="noConversion"/>
  </si>
  <si>
    <t>601233.SH</t>
    <phoneticPr fontId="14" type="noConversion"/>
  </si>
  <si>
    <t>桐昆股份</t>
    <phoneticPr fontId="14" type="noConversion"/>
  </si>
  <si>
    <t>601333.SH</t>
    <phoneticPr fontId="14" type="noConversion"/>
  </si>
  <si>
    <t>广深铁路</t>
    <phoneticPr fontId="14" type="noConversion"/>
  </si>
  <si>
    <t>601399.SH</t>
    <phoneticPr fontId="14" type="noConversion"/>
  </si>
  <si>
    <t>国机重装</t>
    <phoneticPr fontId="14" type="noConversion"/>
  </si>
  <si>
    <t>601555.SH</t>
    <phoneticPr fontId="14" type="noConversion"/>
  </si>
  <si>
    <t>东吴证券</t>
    <phoneticPr fontId="14" type="noConversion"/>
  </si>
  <si>
    <t>601567.SH</t>
    <phoneticPr fontId="14" type="noConversion"/>
  </si>
  <si>
    <t>三星医疗</t>
    <phoneticPr fontId="14" type="noConversion"/>
  </si>
  <si>
    <t>601577.SH</t>
    <phoneticPr fontId="14" type="noConversion"/>
  </si>
  <si>
    <t>长沙银行</t>
    <phoneticPr fontId="14" type="noConversion"/>
  </si>
  <si>
    <t>601598.SH</t>
    <phoneticPr fontId="14" type="noConversion"/>
  </si>
  <si>
    <t>中国外运</t>
    <phoneticPr fontId="14" type="noConversion"/>
  </si>
  <si>
    <t>601608.SH</t>
    <phoneticPr fontId="14" type="noConversion"/>
  </si>
  <si>
    <t>中信重工</t>
    <phoneticPr fontId="14" type="noConversion"/>
  </si>
  <si>
    <t>601611.SH</t>
    <phoneticPr fontId="14" type="noConversion"/>
  </si>
  <si>
    <t>中国核建</t>
    <phoneticPr fontId="14" type="noConversion"/>
  </si>
  <si>
    <t>601615.SH</t>
    <phoneticPr fontId="14" type="noConversion"/>
  </si>
  <si>
    <t>明阳智能</t>
    <phoneticPr fontId="14" type="noConversion"/>
  </si>
  <si>
    <t>601665.SH</t>
    <phoneticPr fontId="14" type="noConversion"/>
  </si>
  <si>
    <t>齐鲁银行</t>
    <phoneticPr fontId="14" type="noConversion"/>
  </si>
  <si>
    <t>601666.SH</t>
    <phoneticPr fontId="14" type="noConversion"/>
  </si>
  <si>
    <t>平煤股份</t>
    <phoneticPr fontId="14" type="noConversion"/>
  </si>
  <si>
    <t>601696.SH</t>
    <phoneticPr fontId="14" type="noConversion"/>
  </si>
  <si>
    <t>中银证券</t>
    <phoneticPr fontId="14" type="noConversion"/>
  </si>
  <si>
    <t>601699.SH</t>
    <phoneticPr fontId="14" type="noConversion"/>
  </si>
  <si>
    <t>潞安环能</t>
    <phoneticPr fontId="14" type="noConversion"/>
  </si>
  <si>
    <t>601717.SH</t>
    <phoneticPr fontId="14" type="noConversion"/>
  </si>
  <si>
    <t>中创智领</t>
    <phoneticPr fontId="14" type="noConversion"/>
  </si>
  <si>
    <t>601799.SH</t>
    <phoneticPr fontId="14" type="noConversion"/>
  </si>
  <si>
    <t>星宇股份</t>
    <phoneticPr fontId="14" type="noConversion"/>
  </si>
  <si>
    <t>601865.SH</t>
    <phoneticPr fontId="14" type="noConversion"/>
  </si>
  <si>
    <t>福莱特</t>
    <phoneticPr fontId="14" type="noConversion"/>
  </si>
  <si>
    <t>601866.SH</t>
    <phoneticPr fontId="14" type="noConversion"/>
  </si>
  <si>
    <t>中远海发</t>
    <phoneticPr fontId="14" type="noConversion"/>
  </si>
  <si>
    <t>601880.SH</t>
    <phoneticPr fontId="14" type="noConversion"/>
  </si>
  <si>
    <t>辽港股份</t>
    <phoneticPr fontId="14" type="noConversion"/>
  </si>
  <si>
    <t>601918.SH</t>
    <phoneticPr fontId="14" type="noConversion"/>
  </si>
  <si>
    <t>新集能源</t>
    <phoneticPr fontId="14" type="noConversion"/>
  </si>
  <si>
    <t>601921.SH</t>
    <phoneticPr fontId="14" type="noConversion"/>
  </si>
  <si>
    <t>浙版传媒</t>
    <phoneticPr fontId="14" type="noConversion"/>
  </si>
  <si>
    <t>601928.SH</t>
    <phoneticPr fontId="14" type="noConversion"/>
  </si>
  <si>
    <t>凤凰传媒</t>
    <phoneticPr fontId="14" type="noConversion"/>
  </si>
  <si>
    <t>601958.SH</t>
    <phoneticPr fontId="14" type="noConversion"/>
  </si>
  <si>
    <t>金钼股份</t>
    <phoneticPr fontId="14" type="noConversion"/>
  </si>
  <si>
    <t>601965.SH</t>
    <phoneticPr fontId="14" type="noConversion"/>
  </si>
  <si>
    <t>中国汽研</t>
    <phoneticPr fontId="14" type="noConversion"/>
  </si>
  <si>
    <t>601966.SH</t>
    <phoneticPr fontId="14" type="noConversion"/>
  </si>
  <si>
    <t>玲珑轮胎</t>
    <phoneticPr fontId="14" type="noConversion"/>
  </si>
  <si>
    <t>601990.SH</t>
    <phoneticPr fontId="14" type="noConversion"/>
  </si>
  <si>
    <t>南京证券</t>
    <phoneticPr fontId="14" type="noConversion"/>
  </si>
  <si>
    <t>601991.SH</t>
    <phoneticPr fontId="14" type="noConversion"/>
  </si>
  <si>
    <t>大唐发电</t>
    <phoneticPr fontId="14" type="noConversion"/>
  </si>
  <si>
    <t>601997.SH</t>
    <phoneticPr fontId="14" type="noConversion"/>
  </si>
  <si>
    <t>贵阳银行</t>
    <phoneticPr fontId="14" type="noConversion"/>
  </si>
  <si>
    <t>603000.SH</t>
    <phoneticPr fontId="14" type="noConversion"/>
  </si>
  <si>
    <t>人民网</t>
    <phoneticPr fontId="14" type="noConversion"/>
  </si>
  <si>
    <t>603049.SH</t>
    <phoneticPr fontId="14" type="noConversion"/>
  </si>
  <si>
    <t>603077.SH</t>
    <phoneticPr fontId="14" type="noConversion"/>
  </si>
  <si>
    <t>和邦生物</t>
    <phoneticPr fontId="14" type="noConversion"/>
  </si>
  <si>
    <t>603087.SH</t>
    <phoneticPr fontId="14" type="noConversion"/>
  </si>
  <si>
    <t>甘李药业</t>
    <phoneticPr fontId="14" type="noConversion"/>
  </si>
  <si>
    <t>603129.SH</t>
    <phoneticPr fontId="14" type="noConversion"/>
  </si>
  <si>
    <t>春风动力</t>
    <phoneticPr fontId="14" type="noConversion"/>
  </si>
  <si>
    <t>603156.SH</t>
    <phoneticPr fontId="14" type="noConversion"/>
  </si>
  <si>
    <t>养元饮品</t>
    <phoneticPr fontId="14" type="noConversion"/>
  </si>
  <si>
    <t>603160.SH</t>
    <phoneticPr fontId="14" type="noConversion"/>
  </si>
  <si>
    <t>汇顶科技</t>
    <phoneticPr fontId="14" type="noConversion"/>
  </si>
  <si>
    <t>603179.SH</t>
    <phoneticPr fontId="14" type="noConversion"/>
  </si>
  <si>
    <t>新泉股份</t>
    <phoneticPr fontId="14" type="noConversion"/>
  </si>
  <si>
    <t>603225.SH</t>
    <phoneticPr fontId="14" type="noConversion"/>
  </si>
  <si>
    <t>新凤鸣</t>
    <phoneticPr fontId="14" type="noConversion"/>
  </si>
  <si>
    <t>603228.SH</t>
    <phoneticPr fontId="14" type="noConversion"/>
  </si>
  <si>
    <t>景旺电子</t>
    <phoneticPr fontId="14" type="noConversion"/>
  </si>
  <si>
    <t>603233.SH</t>
    <phoneticPr fontId="14" type="noConversion"/>
  </si>
  <si>
    <t>大参林</t>
    <phoneticPr fontId="14" type="noConversion"/>
  </si>
  <si>
    <t>603290.SH</t>
    <phoneticPr fontId="14" type="noConversion"/>
  </si>
  <si>
    <t>斯达半导</t>
    <phoneticPr fontId="14" type="noConversion"/>
  </si>
  <si>
    <t>603298.SH</t>
    <phoneticPr fontId="14" type="noConversion"/>
  </si>
  <si>
    <t>杭叉集团</t>
    <phoneticPr fontId="14" type="noConversion"/>
  </si>
  <si>
    <t>603338.SH</t>
    <phoneticPr fontId="14" type="noConversion"/>
  </si>
  <si>
    <t>浙江鼎力</t>
    <phoneticPr fontId="14" type="noConversion"/>
  </si>
  <si>
    <t>603341.SH</t>
    <phoneticPr fontId="14" type="noConversion"/>
  </si>
  <si>
    <t>龙旗科技</t>
    <phoneticPr fontId="14" type="noConversion"/>
  </si>
  <si>
    <t>603345.SH</t>
    <phoneticPr fontId="14" type="noConversion"/>
  </si>
  <si>
    <t>安井食品</t>
    <phoneticPr fontId="14" type="noConversion"/>
  </si>
  <si>
    <t>603379.SH</t>
    <phoneticPr fontId="14" type="noConversion"/>
  </si>
  <si>
    <t>三美股份</t>
    <phoneticPr fontId="14" type="noConversion"/>
  </si>
  <si>
    <t>603444.SH</t>
    <phoneticPr fontId="14" type="noConversion"/>
  </si>
  <si>
    <t>吉比特</t>
    <phoneticPr fontId="14" type="noConversion"/>
  </si>
  <si>
    <t>603486.SH</t>
    <phoneticPr fontId="14" type="noConversion"/>
  </si>
  <si>
    <t>科沃斯</t>
    <phoneticPr fontId="14" type="noConversion"/>
  </si>
  <si>
    <t>603529.SH</t>
    <phoneticPr fontId="14" type="noConversion"/>
  </si>
  <si>
    <t>爱玛科技</t>
    <phoneticPr fontId="14" type="noConversion"/>
  </si>
  <si>
    <t>603565.SH</t>
    <phoneticPr fontId="14" type="noConversion"/>
  </si>
  <si>
    <t>中谷物流</t>
    <phoneticPr fontId="14" type="noConversion"/>
  </si>
  <si>
    <t>603568.SH</t>
    <phoneticPr fontId="14" type="noConversion"/>
  </si>
  <si>
    <t>伟明环保</t>
    <phoneticPr fontId="14" type="noConversion"/>
  </si>
  <si>
    <t>口子窖</t>
    <phoneticPr fontId="14" type="noConversion"/>
  </si>
  <si>
    <t>603596.SH</t>
    <phoneticPr fontId="14" type="noConversion"/>
  </si>
  <si>
    <t>伯特利</t>
    <phoneticPr fontId="14" type="noConversion"/>
  </si>
  <si>
    <t>603605.SH</t>
    <phoneticPr fontId="14" type="noConversion"/>
  </si>
  <si>
    <t>珀莱雅</t>
    <phoneticPr fontId="14" type="noConversion"/>
  </si>
  <si>
    <t>603606.SH</t>
    <phoneticPr fontId="14" type="noConversion"/>
  </si>
  <si>
    <t>东方电缆</t>
    <phoneticPr fontId="14" type="noConversion"/>
  </si>
  <si>
    <t>603650.SH</t>
    <phoneticPr fontId="14" type="noConversion"/>
  </si>
  <si>
    <t>彤程新材</t>
    <phoneticPr fontId="14" type="noConversion"/>
  </si>
  <si>
    <t>603658.SH</t>
    <phoneticPr fontId="14" type="noConversion"/>
  </si>
  <si>
    <t>安图生物</t>
    <phoneticPr fontId="14" type="noConversion"/>
  </si>
  <si>
    <t>603659.SH</t>
    <phoneticPr fontId="14" type="noConversion"/>
  </si>
  <si>
    <t>璞泰来</t>
    <phoneticPr fontId="14" type="noConversion"/>
  </si>
  <si>
    <t>603688.SH</t>
    <phoneticPr fontId="14" type="noConversion"/>
  </si>
  <si>
    <t>石英股份</t>
    <phoneticPr fontId="14" type="noConversion"/>
  </si>
  <si>
    <t>603699.SH</t>
    <phoneticPr fontId="14" type="noConversion"/>
  </si>
  <si>
    <t>纽威股份</t>
    <phoneticPr fontId="14" type="noConversion"/>
  </si>
  <si>
    <t>603707.SH</t>
    <phoneticPr fontId="14" type="noConversion"/>
  </si>
  <si>
    <t>健友股份</t>
    <phoneticPr fontId="14" type="noConversion"/>
  </si>
  <si>
    <t>603728.SH</t>
    <phoneticPr fontId="14" type="noConversion"/>
  </si>
  <si>
    <t>鸣志电器</t>
    <phoneticPr fontId="14" type="noConversion"/>
  </si>
  <si>
    <t>603737.SH</t>
    <phoneticPr fontId="14" type="noConversion"/>
  </si>
  <si>
    <t>三棵树</t>
    <phoneticPr fontId="14" type="noConversion"/>
  </si>
  <si>
    <t>603766.SH</t>
    <phoneticPr fontId="14" type="noConversion"/>
  </si>
  <si>
    <t>隆鑫通用</t>
    <phoneticPr fontId="14" type="noConversion"/>
  </si>
  <si>
    <t>603786.SH</t>
    <phoneticPr fontId="14" type="noConversion"/>
  </si>
  <si>
    <t>科博达</t>
    <phoneticPr fontId="14" type="noConversion"/>
  </si>
  <si>
    <t>603806.SH</t>
    <phoneticPr fontId="14" type="noConversion"/>
  </si>
  <si>
    <t>福斯特</t>
    <phoneticPr fontId="14" type="noConversion"/>
  </si>
  <si>
    <t>603816.SH</t>
    <phoneticPr fontId="14" type="noConversion"/>
  </si>
  <si>
    <t>顾家家居</t>
    <phoneticPr fontId="14" type="noConversion"/>
  </si>
  <si>
    <t>603833.SH</t>
    <phoneticPr fontId="14" type="noConversion"/>
  </si>
  <si>
    <t>欧派家居</t>
    <phoneticPr fontId="14" type="noConversion"/>
  </si>
  <si>
    <t>603858.SH</t>
    <phoneticPr fontId="14" type="noConversion"/>
  </si>
  <si>
    <t>步长制药</t>
    <phoneticPr fontId="14" type="noConversion"/>
  </si>
  <si>
    <t>603885.SH</t>
    <phoneticPr fontId="14" type="noConversion"/>
  </si>
  <si>
    <t>吉祥航空</t>
    <phoneticPr fontId="14" type="noConversion"/>
  </si>
  <si>
    <t>603899.SH</t>
    <phoneticPr fontId="14" type="noConversion"/>
  </si>
  <si>
    <t>晨光股份</t>
    <phoneticPr fontId="14" type="noConversion"/>
  </si>
  <si>
    <t>603920.SH</t>
    <phoneticPr fontId="14" type="noConversion"/>
  </si>
  <si>
    <t>世运电路</t>
    <phoneticPr fontId="14" type="noConversion"/>
  </si>
  <si>
    <t>603927.SH</t>
    <phoneticPr fontId="14" type="noConversion"/>
  </si>
  <si>
    <t>中科软</t>
    <phoneticPr fontId="14" type="noConversion"/>
  </si>
  <si>
    <t>603939.SH</t>
    <phoneticPr fontId="14" type="noConversion"/>
  </si>
  <si>
    <t>益丰药房</t>
    <phoneticPr fontId="14" type="noConversion"/>
  </si>
  <si>
    <t>603979.SH</t>
    <phoneticPr fontId="14" type="noConversion"/>
  </si>
  <si>
    <t>金诚信</t>
    <phoneticPr fontId="14" type="noConversion"/>
  </si>
  <si>
    <t>605358.SH</t>
    <phoneticPr fontId="14" type="noConversion"/>
  </si>
  <si>
    <t>立昂微</t>
    <phoneticPr fontId="14" type="noConversion"/>
  </si>
  <si>
    <t>605589.SH</t>
    <phoneticPr fontId="14" type="noConversion"/>
  </si>
  <si>
    <t>圣泉集团</t>
    <phoneticPr fontId="14" type="noConversion"/>
  </si>
  <si>
    <t>688002.SH</t>
    <phoneticPr fontId="14" type="noConversion"/>
  </si>
  <si>
    <t>睿创微纳</t>
    <phoneticPr fontId="14" type="noConversion"/>
  </si>
  <si>
    <t>688017.SH</t>
    <phoneticPr fontId="14" type="noConversion"/>
  </si>
  <si>
    <t>绿的谐波</t>
    <phoneticPr fontId="14" type="noConversion"/>
  </si>
  <si>
    <t>688018.SH</t>
    <phoneticPr fontId="14" type="noConversion"/>
  </si>
  <si>
    <t>乐鑫科技</t>
    <phoneticPr fontId="14" type="noConversion"/>
  </si>
  <si>
    <t>688019.SH</t>
    <phoneticPr fontId="14" type="noConversion"/>
  </si>
  <si>
    <t>安集科技</t>
    <phoneticPr fontId="14" type="noConversion"/>
  </si>
  <si>
    <t>688027.SH</t>
    <phoneticPr fontId="14" type="noConversion"/>
  </si>
  <si>
    <t>国盾量子</t>
    <phoneticPr fontId="14" type="noConversion"/>
  </si>
  <si>
    <t>688037.SH</t>
    <phoneticPr fontId="14" type="noConversion"/>
  </si>
  <si>
    <t>芯源微</t>
    <phoneticPr fontId="14" type="noConversion"/>
  </si>
  <si>
    <t>688052.SH</t>
    <phoneticPr fontId="14" type="noConversion"/>
  </si>
  <si>
    <t>纳芯微</t>
    <phoneticPr fontId="14" type="noConversion"/>
  </si>
  <si>
    <t>688100.SH</t>
    <phoneticPr fontId="14" type="noConversion"/>
  </si>
  <si>
    <t>威胜信息</t>
    <phoneticPr fontId="14" type="noConversion"/>
  </si>
  <si>
    <t>华大智造</t>
    <phoneticPr fontId="14" type="noConversion"/>
  </si>
  <si>
    <t>688120.SH</t>
    <phoneticPr fontId="14" type="noConversion"/>
  </si>
  <si>
    <t>688166.SH</t>
    <phoneticPr fontId="14" type="noConversion"/>
  </si>
  <si>
    <t>博瑞医药</t>
    <phoneticPr fontId="14" type="noConversion"/>
  </si>
  <si>
    <t>688172.SH</t>
    <phoneticPr fontId="14" type="noConversion"/>
  </si>
  <si>
    <t>燕东微</t>
    <phoneticPr fontId="14" type="noConversion"/>
  </si>
  <si>
    <t>688180.SH</t>
    <phoneticPr fontId="14" type="noConversion"/>
  </si>
  <si>
    <t>君实生物</t>
    <phoneticPr fontId="14" type="noConversion"/>
  </si>
  <si>
    <t>688183.SH</t>
    <phoneticPr fontId="14" type="noConversion"/>
  </si>
  <si>
    <t>生益电子</t>
    <phoneticPr fontId="14" type="noConversion"/>
  </si>
  <si>
    <t>688192.SH</t>
    <phoneticPr fontId="14" type="noConversion"/>
  </si>
  <si>
    <t>迪哲医药</t>
    <phoneticPr fontId="14" type="noConversion"/>
  </si>
  <si>
    <t>688213.SH</t>
    <phoneticPr fontId="14" type="noConversion"/>
  </si>
  <si>
    <t>688220.SH</t>
    <phoneticPr fontId="14" type="noConversion"/>
  </si>
  <si>
    <t>688234.SH</t>
    <phoneticPr fontId="14" type="noConversion"/>
  </si>
  <si>
    <t>688235.SH</t>
    <phoneticPr fontId="14" type="noConversion"/>
  </si>
  <si>
    <t>百济神州</t>
    <phoneticPr fontId="14" type="noConversion"/>
  </si>
  <si>
    <t>688248.SH</t>
    <phoneticPr fontId="14" type="noConversion"/>
  </si>
  <si>
    <t>南网科技</t>
    <phoneticPr fontId="14" type="noConversion"/>
  </si>
  <si>
    <t>688266.SH</t>
    <phoneticPr fontId="14" type="noConversion"/>
  </si>
  <si>
    <t>泽璟制药</t>
    <phoneticPr fontId="14" type="noConversion"/>
  </si>
  <si>
    <t>688281.SH</t>
    <phoneticPr fontId="14" type="noConversion"/>
  </si>
  <si>
    <t>华秦科技</t>
    <phoneticPr fontId="14" type="noConversion"/>
  </si>
  <si>
    <t>688295.SH</t>
    <phoneticPr fontId="14" type="noConversion"/>
  </si>
  <si>
    <t>中复神鹰</t>
    <phoneticPr fontId="14" type="noConversion"/>
  </si>
  <si>
    <t>688301.SH</t>
    <phoneticPr fontId="14" type="noConversion"/>
  </si>
  <si>
    <t>奕瑞科技</t>
    <phoneticPr fontId="14" type="noConversion"/>
  </si>
  <si>
    <t>688318.SH</t>
    <phoneticPr fontId="14" type="noConversion"/>
  </si>
  <si>
    <t>财富趋势</t>
    <phoneticPr fontId="14" type="noConversion"/>
  </si>
  <si>
    <t>688322.SH</t>
    <phoneticPr fontId="14" type="noConversion"/>
  </si>
  <si>
    <t>奥比中光</t>
    <phoneticPr fontId="14" type="noConversion"/>
  </si>
  <si>
    <t>688336.SH</t>
    <phoneticPr fontId="14" type="noConversion"/>
  </si>
  <si>
    <t>三生国健</t>
    <phoneticPr fontId="14" type="noConversion"/>
  </si>
  <si>
    <t>688347.SH</t>
    <phoneticPr fontId="14" type="noConversion"/>
  </si>
  <si>
    <t>华虹公司</t>
    <phoneticPr fontId="14" type="noConversion"/>
  </si>
  <si>
    <t>中科飞测</t>
    <phoneticPr fontId="14" type="noConversion"/>
  </si>
  <si>
    <t>688363.SH</t>
    <phoneticPr fontId="14" type="noConversion"/>
  </si>
  <si>
    <t>华熙生物</t>
    <phoneticPr fontId="14" type="noConversion"/>
  </si>
  <si>
    <t>688385.SH</t>
    <phoneticPr fontId="14" type="noConversion"/>
  </si>
  <si>
    <t>复旦微电</t>
    <phoneticPr fontId="14" type="noConversion"/>
  </si>
  <si>
    <t>688387.SH</t>
    <phoneticPr fontId="14" type="noConversion"/>
  </si>
  <si>
    <t>信科移动</t>
    <phoneticPr fontId="14" type="noConversion"/>
  </si>
  <si>
    <t>688425.SH</t>
    <phoneticPr fontId="14" type="noConversion"/>
  </si>
  <si>
    <t>铁建重工</t>
    <phoneticPr fontId="14" type="noConversion"/>
  </si>
  <si>
    <t>688469.SH</t>
    <phoneticPr fontId="14" type="noConversion"/>
  </si>
  <si>
    <t>芯联集成</t>
    <phoneticPr fontId="14" type="noConversion"/>
  </si>
  <si>
    <t>688475.SH</t>
    <phoneticPr fontId="14" type="noConversion"/>
  </si>
  <si>
    <t>萤石网络</t>
    <phoneticPr fontId="14" type="noConversion"/>
  </si>
  <si>
    <t>688520.SH</t>
    <phoneticPr fontId="14" type="noConversion"/>
  </si>
  <si>
    <t>神州细胞</t>
    <phoneticPr fontId="14" type="noConversion"/>
  </si>
  <si>
    <t>688525.SH</t>
    <phoneticPr fontId="14" type="noConversion"/>
  </si>
  <si>
    <t>佰维存储</t>
    <phoneticPr fontId="14" type="noConversion"/>
  </si>
  <si>
    <t>688561.SH</t>
    <phoneticPr fontId="14" type="noConversion"/>
  </si>
  <si>
    <t>奇安信</t>
    <phoneticPr fontId="14" type="noConversion"/>
  </si>
  <si>
    <t>688563.SH</t>
    <phoneticPr fontId="14" type="noConversion"/>
  </si>
  <si>
    <t>航材股份</t>
    <phoneticPr fontId="14" type="noConversion"/>
  </si>
  <si>
    <t>688582.SH</t>
    <phoneticPr fontId="14" type="noConversion"/>
  </si>
  <si>
    <t>芯动联科</t>
    <phoneticPr fontId="14" type="noConversion"/>
  </si>
  <si>
    <t>688615.SH</t>
    <phoneticPr fontId="14" type="noConversion"/>
  </si>
  <si>
    <t>合合信息</t>
    <phoneticPr fontId="14" type="noConversion"/>
  </si>
  <si>
    <t>惠泰医疗</t>
    <phoneticPr fontId="14" type="noConversion"/>
  </si>
  <si>
    <t>688629.SH</t>
    <phoneticPr fontId="14" type="noConversion"/>
  </si>
  <si>
    <t>华丰科技</t>
    <phoneticPr fontId="14" type="noConversion"/>
  </si>
  <si>
    <t>688676.SH</t>
    <phoneticPr fontId="14" type="noConversion"/>
  </si>
  <si>
    <t>金盘科技</t>
    <phoneticPr fontId="14" type="noConversion"/>
  </si>
  <si>
    <t>688692.SH</t>
    <phoneticPr fontId="14" type="noConversion"/>
  </si>
  <si>
    <t>达梦数据</t>
    <phoneticPr fontId="14" type="noConversion"/>
  </si>
  <si>
    <t>688709.SH</t>
    <phoneticPr fontId="14" type="noConversion"/>
  </si>
  <si>
    <t>成都华微</t>
    <phoneticPr fontId="14" type="noConversion"/>
  </si>
  <si>
    <t>688772.SH</t>
    <phoneticPr fontId="14" type="noConversion"/>
  </si>
  <si>
    <t>珠海冠宇</t>
    <phoneticPr fontId="14" type="noConversion"/>
  </si>
  <si>
    <t>688778.SH</t>
    <phoneticPr fontId="14" type="noConversion"/>
  </si>
  <si>
    <t>厦钨新能</t>
    <phoneticPr fontId="14" type="noConversion"/>
  </si>
  <si>
    <t>688819.SH</t>
    <phoneticPr fontId="14" type="noConversion"/>
  </si>
  <si>
    <t>天能股份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</si>
</sst>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76" formatCode="###,###,##0.0000"/>
    <numFmt numFmtId="177" formatCode="#,##0.00_ "/>
    <numFmt numFmtId="178" formatCode="0.0000_);[Red]\(0.0000\)"/>
    <numFmt numFmtId="179" formatCode="#,##0.0000"/>
    <numFmt numFmtId="180" formatCode="0.00_ "/>
    <numFmt numFmtId="181" formatCode="0.00_);[Red]\(0.00\)"/>
    <numFmt numFmtId="182" formatCode="#,##0.0000_ "/>
    <numFmt numFmtId="183" formatCode="yyyy/mm/dd"/>
    <numFmt numFmtId="184" formatCode="0.0%"/>
    <numFmt numFmtId="185" formatCode="#,##0.0_ "/>
  </numFmts>
  <fonts count="18">
    <font>
      <sz val="11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9"/>
      <name val="Arial Unicode MS"/>
      <family val="2"/>
      <charset val="134"/>
    </font>
    <font>
      <sz val="11"/>
      <color theme="1"/>
      <name val="仿宋"/>
      <family val="3"/>
      <charset val="134"/>
    </font>
    <font>
      <b/>
      <sz val="11"/>
      <color theme="0"/>
      <name val="仿宋"/>
      <family val="3"/>
      <charset val="134"/>
    </font>
    <font>
      <sz val="9"/>
      <name val="等线"/>
      <family val="2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仿宋"/>
      <family val="3"/>
      <charset val="134"/>
    </font>
    <font>
      <sz val="11"/>
      <color rgb="FFFF0000"/>
      <name val="仿宋"/>
      <family val="3"/>
      <charset val="134"/>
    </font>
    <font>
      <b/>
      <sz val="11"/>
      <color theme="5"/>
      <name val="仿宋"/>
      <family val="3"/>
      <charset val="134"/>
    </font>
    <font>
      <b/>
      <sz val="11"/>
      <color theme="9"/>
      <name val="仿宋"/>
      <family val="3"/>
      <charset val="134"/>
    </font>
    <font>
      <b/>
      <sz val="9"/>
      <name val="Arial"/>
      <family val="2"/>
    </font>
    <font>
      <b/>
      <sz val="11"/>
      <color rgb="FFFF0000"/>
      <name val="仿宋"/>
      <family val="3"/>
      <charset val="134"/>
    </font>
    <font>
      <sz val="9"/>
      <color theme="1"/>
      <name val="Consolas"/>
      <family val="3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等线"/>
      <family val="2"/>
      <scheme val="minor"/>
    </font>
    <font>
      <b/>
      <sz val="11"/>
      <color theme="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/>
        <bgColor theme="8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Dashed">
        <color theme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/>
      <right style="mediumDashed">
        <color indexed="64"/>
      </right>
      <top/>
      <bottom/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</borders>
  <cellStyleXfs count="7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6" fillId="0" borderId="0"/>
  </cellStyleXfs>
  <cellXfs count="12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2" xfId="0" applyFont="1" applyFill="1" applyBorder="1" applyAlignment="1">
      <alignment horizontal="left" vertical="center"/>
    </xf>
    <xf numFmtId="14" fontId="3" fillId="0" borderId="0" xfId="0" applyNumberFormat="1" applyFont="1">
      <alignment vertical="center"/>
    </xf>
    <xf numFmtId="0" fontId="3" fillId="2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6" fontId="3" fillId="0" borderId="0" xfId="0" applyNumberFormat="1" applyFont="1">
      <alignment vertical="center"/>
    </xf>
    <xf numFmtId="10" fontId="3" fillId="0" borderId="0" xfId="1" applyNumberFormat="1" applyFont="1" applyBorder="1">
      <alignment vertical="center"/>
    </xf>
    <xf numFmtId="0" fontId="8" fillId="0" borderId="0" xfId="0" applyFont="1">
      <alignment vertical="center"/>
    </xf>
    <xf numFmtId="0" fontId="4" fillId="3" borderId="2" xfId="0" applyFont="1" applyFill="1" applyBorder="1" applyAlignment="1">
      <alignment vertical="center"/>
    </xf>
    <xf numFmtId="10" fontId="3" fillId="2" borderId="3" xfId="1" applyNumberFormat="1" applyFont="1" applyFill="1" applyBorder="1">
      <alignment vertical="center"/>
    </xf>
    <xf numFmtId="2" fontId="3" fillId="0" borderId="0" xfId="0" applyNumberFormat="1" applyFont="1">
      <alignment vertical="center"/>
    </xf>
    <xf numFmtId="0" fontId="0" fillId="0" borderId="0" xfId="0" applyNumberFormat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0" fontId="10" fillId="0" borderId="0" xfId="1" applyNumberFormat="1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10" fontId="10" fillId="2" borderId="0" xfId="1" applyNumberFormat="1" applyFont="1" applyFill="1" applyAlignment="1">
      <alignment horizontal="center" vertical="center"/>
    </xf>
    <xf numFmtId="0" fontId="0" fillId="0" borderId="0" xfId="0" applyAlignment="1"/>
    <xf numFmtId="10" fontId="3" fillId="0" borderId="0" xfId="0" applyNumberFormat="1" applyFont="1">
      <alignment vertical="center"/>
    </xf>
    <xf numFmtId="0" fontId="7" fillId="0" borderId="0" xfId="0" applyFont="1">
      <alignment vertical="center"/>
    </xf>
    <xf numFmtId="179" fontId="3" fillId="2" borderId="1" xfId="0" applyNumberFormat="1" applyFont="1" applyFill="1" applyBorder="1" applyAlignment="1">
      <alignment horizontal="right" vertical="center"/>
    </xf>
    <xf numFmtId="10" fontId="3" fillId="0" borderId="0" xfId="1" applyNumberFormat="1" applyFon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80" fontId="0" fillId="0" borderId="0" xfId="0" applyNumberFormat="1" applyAlignment="1"/>
    <xf numFmtId="0" fontId="12" fillId="0" borderId="0" xfId="0" applyFont="1" applyAlignment="1">
      <alignment horizontal="right" vertical="center"/>
    </xf>
    <xf numFmtId="49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83" fontId="3" fillId="0" borderId="0" xfId="0" applyNumberFormat="1" applyFont="1" applyAlignment="1">
      <alignment horizontal="right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2" fontId="0" fillId="0" borderId="0" xfId="0" applyNumberFormat="1">
      <alignment vertical="center"/>
    </xf>
    <xf numFmtId="0" fontId="3" fillId="0" borderId="0" xfId="0" applyFont="1" applyFill="1" applyAlignment="1">
      <alignment horizontal="center"/>
    </xf>
    <xf numFmtId="0" fontId="3" fillId="4" borderId="0" xfId="0" applyFont="1" applyFill="1">
      <alignment vertical="center"/>
    </xf>
    <xf numFmtId="0" fontId="13" fillId="0" borderId="0" xfId="0" applyFont="1" applyAlignment="1">
      <alignment horizontal="left" vertical="center"/>
    </xf>
    <xf numFmtId="179" fontId="3" fillId="0" borderId="0" xfId="0" applyNumberFormat="1" applyFont="1" applyAlignment="1">
      <alignment horizontal="right" vertical="center"/>
    </xf>
    <xf numFmtId="10" fontId="0" fillId="0" borderId="0" xfId="0" applyNumberFormat="1">
      <alignment vertical="center"/>
    </xf>
    <xf numFmtId="3" fontId="3" fillId="0" borderId="0" xfId="1" applyNumberFormat="1" applyFont="1" applyBorder="1" applyAlignment="1">
      <alignment horizontal="right" vertical="center"/>
    </xf>
    <xf numFmtId="184" fontId="3" fillId="0" borderId="0" xfId="0" applyNumberFormat="1" applyFont="1">
      <alignment vertical="center"/>
    </xf>
    <xf numFmtId="182" fontId="3" fillId="0" borderId="0" xfId="1" applyNumberFormat="1" applyFont="1" applyAlignment="1">
      <alignment horizontal="right" vertical="center"/>
    </xf>
    <xf numFmtId="0" fontId="3" fillId="2" borderId="0" xfId="0" applyFont="1" applyFill="1" applyBorder="1" applyAlignment="1">
      <alignment horizontal="center"/>
    </xf>
    <xf numFmtId="0" fontId="4" fillId="3" borderId="4" xfId="0" applyNumberFormat="1" applyFont="1" applyFill="1" applyBorder="1" applyAlignment="1">
      <alignment horizontal="center"/>
    </xf>
    <xf numFmtId="0" fontId="4" fillId="3" borderId="5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10" fontId="10" fillId="2" borderId="6" xfId="1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0" fontId="3" fillId="2" borderId="0" xfId="1" applyNumberFormat="1" applyFont="1" applyFill="1" applyBorder="1" applyAlignment="1">
      <alignment horizontal="center" vertical="center"/>
    </xf>
    <xf numFmtId="181" fontId="3" fillId="2" borderId="0" xfId="1" applyNumberFormat="1" applyFont="1" applyFill="1" applyBorder="1" applyAlignment="1">
      <alignment horizontal="center" vertical="center"/>
    </xf>
    <xf numFmtId="10" fontId="3" fillId="2" borderId="0" xfId="1" applyNumberFormat="1" applyFont="1" applyFill="1" applyBorder="1" applyAlignment="1">
      <alignment horizontal="center" vertical="center"/>
    </xf>
    <xf numFmtId="0" fontId="3" fillId="0" borderId="0" xfId="1" applyNumberFormat="1" applyFont="1" applyFill="1" applyBorder="1" applyAlignment="1">
      <alignment horizontal="center" vertical="center"/>
    </xf>
    <xf numFmtId="0" fontId="3" fillId="0" borderId="0" xfId="1" applyNumberFormat="1" applyFont="1" applyBorder="1" applyAlignment="1">
      <alignment horizontal="center" vertical="center"/>
    </xf>
    <xf numFmtId="181" fontId="3" fillId="0" borderId="0" xfId="1" applyNumberFormat="1" applyFont="1" applyAlignment="1">
      <alignment horizontal="center" vertical="center"/>
    </xf>
    <xf numFmtId="178" fontId="3" fillId="0" borderId="0" xfId="1" applyNumberFormat="1" applyFont="1" applyBorder="1" applyAlignment="1">
      <alignment horizontal="center" vertical="center"/>
    </xf>
    <xf numFmtId="10" fontId="3" fillId="0" borderId="0" xfId="1" applyNumberFormat="1" applyFont="1" applyBorder="1" applyAlignment="1">
      <alignment horizontal="center" vertical="center"/>
    </xf>
    <xf numFmtId="181" fontId="3" fillId="0" borderId="0" xfId="1" applyNumberFormat="1" applyFont="1" applyFill="1" applyBorder="1" applyAlignment="1">
      <alignment horizontal="center" vertical="center"/>
    </xf>
    <xf numFmtId="10" fontId="3" fillId="0" borderId="0" xfId="1" applyNumberFormat="1" applyFont="1" applyFill="1" applyBorder="1" applyAlignment="1">
      <alignment horizontal="center" vertical="center"/>
    </xf>
    <xf numFmtId="185" fontId="3" fillId="0" borderId="0" xfId="0" applyNumberFormat="1" applyFont="1">
      <alignment vertical="center"/>
    </xf>
    <xf numFmtId="14" fontId="0" fillId="0" borderId="0" xfId="0" applyNumberFormat="1">
      <alignment vertical="center"/>
    </xf>
    <xf numFmtId="10" fontId="8" fillId="0" borderId="0" xfId="1" applyNumberFormat="1" applyFont="1" applyAlignment="1">
      <alignment horizontal="right" vertical="center"/>
    </xf>
    <xf numFmtId="4" fontId="8" fillId="0" borderId="0" xfId="0" applyNumberFormat="1" applyFont="1" applyAlignment="1">
      <alignment horizontal="right" vertical="center"/>
    </xf>
    <xf numFmtId="0" fontId="3" fillId="0" borderId="6" xfId="1" applyNumberFormat="1" applyFont="1" applyFill="1" applyBorder="1" applyAlignment="1">
      <alignment horizontal="center" vertical="center"/>
    </xf>
    <xf numFmtId="0" fontId="3" fillId="0" borderId="6" xfId="1" applyNumberFormat="1" applyFont="1" applyBorder="1" applyAlignment="1">
      <alignment horizontal="center" vertical="center"/>
    </xf>
    <xf numFmtId="181" fontId="3" fillId="0" borderId="6" xfId="1" applyNumberFormat="1" applyFont="1" applyBorder="1" applyAlignment="1">
      <alignment horizontal="center" vertical="center"/>
    </xf>
    <xf numFmtId="178" fontId="3" fillId="0" borderId="6" xfId="1" applyNumberFormat="1" applyFont="1" applyBorder="1" applyAlignment="1">
      <alignment horizontal="center" vertical="center"/>
    </xf>
    <xf numFmtId="10" fontId="3" fillId="0" borderId="6" xfId="1" applyNumberFormat="1" applyFont="1" applyBorder="1" applyAlignment="1">
      <alignment horizontal="center" vertical="center"/>
    </xf>
    <xf numFmtId="49" fontId="3" fillId="5" borderId="0" xfId="0" applyNumberFormat="1" applyFont="1" applyFill="1" applyAlignment="1">
      <alignment horizontal="right" vertical="center"/>
    </xf>
    <xf numFmtId="0" fontId="4" fillId="3" borderId="0" xfId="0" applyNumberFormat="1" applyFont="1" applyFill="1" applyBorder="1" applyAlignment="1">
      <alignment horizontal="center" vertical="center"/>
    </xf>
    <xf numFmtId="14" fontId="3" fillId="0" borderId="0" xfId="3" applyNumberFormat="1" applyFont="1">
      <alignment vertical="center"/>
    </xf>
    <xf numFmtId="0" fontId="3" fillId="0" borderId="0" xfId="3" applyFont="1">
      <alignment vertical="center"/>
    </xf>
    <xf numFmtId="0" fontId="4" fillId="3" borderId="2" xfId="3" applyNumberFormat="1" applyFont="1" applyFill="1" applyBorder="1" applyAlignment="1"/>
    <xf numFmtId="0" fontId="3" fillId="2" borderId="0" xfId="4" applyNumberFormat="1" applyFont="1" applyFill="1" applyBorder="1">
      <alignment vertical="center"/>
    </xf>
    <xf numFmtId="181" fontId="3" fillId="2" borderId="0" xfId="4" applyNumberFormat="1" applyFont="1" applyFill="1" applyBorder="1">
      <alignment vertical="center"/>
    </xf>
    <xf numFmtId="3" fontId="3" fillId="2" borderId="0" xfId="4" applyNumberFormat="1" applyFont="1" applyFill="1" applyBorder="1" applyAlignment="1">
      <alignment horizontal="right" vertical="center"/>
    </xf>
    <xf numFmtId="10" fontId="3" fillId="2" borderId="0" xfId="4" applyNumberFormat="1" applyFont="1" applyFill="1" applyBorder="1">
      <alignment vertical="center"/>
    </xf>
    <xf numFmtId="0" fontId="3" fillId="0" borderId="0" xfId="4" applyNumberFormat="1" applyFont="1" applyFill="1" applyBorder="1">
      <alignment vertical="center"/>
    </xf>
    <xf numFmtId="0" fontId="3" fillId="0" borderId="0" xfId="4" applyNumberFormat="1" applyFont="1" applyBorder="1">
      <alignment vertical="center"/>
    </xf>
    <xf numFmtId="181" fontId="3" fillId="0" borderId="0" xfId="4" applyNumberFormat="1" applyFont="1">
      <alignment vertical="center"/>
    </xf>
    <xf numFmtId="178" fontId="3" fillId="0" borderId="0" xfId="4" applyNumberFormat="1" applyFont="1" applyBorder="1">
      <alignment vertical="center"/>
    </xf>
    <xf numFmtId="3" fontId="3" fillId="0" borderId="0" xfId="4" applyNumberFormat="1" applyFont="1" applyFill="1" applyBorder="1" applyAlignment="1">
      <alignment horizontal="right" vertical="center"/>
    </xf>
    <xf numFmtId="10" fontId="3" fillId="0" borderId="0" xfId="4" applyNumberFormat="1" applyFont="1" applyBorder="1">
      <alignment vertical="center"/>
    </xf>
    <xf numFmtId="49" fontId="3" fillId="0" borderId="0" xfId="3" applyNumberFormat="1" applyFont="1" applyAlignment="1">
      <alignment horizontal="right" vertical="center"/>
    </xf>
    <xf numFmtId="181" fontId="3" fillId="0" borderId="0" xfId="4" applyNumberFormat="1" applyFont="1" applyFill="1" applyBorder="1">
      <alignment vertical="center"/>
    </xf>
    <xf numFmtId="10" fontId="3" fillId="0" borderId="0" xfId="4" applyNumberFormat="1" applyFont="1" applyFill="1" applyBorder="1">
      <alignment vertical="center"/>
    </xf>
    <xf numFmtId="0" fontId="12" fillId="0" borderId="0" xfId="3" applyFont="1" applyAlignment="1">
      <alignment horizontal="right" vertical="center"/>
    </xf>
    <xf numFmtId="0" fontId="3" fillId="0" borderId="0" xfId="3" applyFont="1" applyAlignment="1">
      <alignment horizontal="right" vertical="center"/>
    </xf>
    <xf numFmtId="0" fontId="15" fillId="0" borderId="0" xfId="3" applyFont="1">
      <alignment vertical="center"/>
    </xf>
    <xf numFmtId="0" fontId="15" fillId="0" borderId="0" xfId="3" applyFont="1" applyFill="1">
      <alignment vertical="center"/>
    </xf>
    <xf numFmtId="0" fontId="3" fillId="4" borderId="0" xfId="3" applyFont="1" applyFill="1">
      <alignment vertical="center"/>
    </xf>
    <xf numFmtId="183" fontId="3" fillId="0" borderId="0" xfId="3" applyNumberFormat="1" applyFont="1" applyAlignment="1">
      <alignment horizontal="right" vertical="center"/>
    </xf>
    <xf numFmtId="182" fontId="3" fillId="0" borderId="0" xfId="3" applyNumberFormat="1" applyFont="1" applyAlignment="1">
      <alignment horizontal="right" vertical="center"/>
    </xf>
    <xf numFmtId="9" fontId="15" fillId="0" borderId="0" xfId="3" applyNumberFormat="1" applyFont="1">
      <alignment vertical="center"/>
    </xf>
    <xf numFmtId="9" fontId="15" fillId="0" borderId="0" xfId="5" applyFont="1">
      <alignment vertical="center"/>
    </xf>
    <xf numFmtId="10" fontId="3" fillId="0" borderId="0" xfId="3" applyNumberFormat="1" applyFont="1">
      <alignment vertical="center"/>
    </xf>
    <xf numFmtId="0" fontId="16" fillId="0" borderId="0" xfId="6"/>
    <xf numFmtId="0" fontId="16" fillId="0" borderId="0" xfId="6" applyAlignment="1">
      <alignment horizontal="left"/>
    </xf>
    <xf numFmtId="0" fontId="16" fillId="0" borderId="0" xfId="6" applyNumberFormat="1"/>
    <xf numFmtId="49" fontId="3" fillId="6" borderId="0" xfId="3" applyNumberFormat="1" applyFont="1" applyFill="1" applyAlignment="1">
      <alignment horizontal="right" vertical="center"/>
    </xf>
    <xf numFmtId="49" fontId="3" fillId="5" borderId="0" xfId="3" applyNumberFormat="1" applyFont="1" applyFill="1" applyAlignment="1">
      <alignment horizontal="right" vertical="center"/>
    </xf>
    <xf numFmtId="0" fontId="0" fillId="0" borderId="0" xfId="0" applyNumberFormat="1">
      <alignment vertical="center"/>
    </xf>
    <xf numFmtId="10" fontId="9" fillId="2" borderId="7" xfId="1" applyNumberFormat="1" applyFont="1" applyFill="1" applyBorder="1" applyAlignment="1">
      <alignment horizontal="center" vertical="center"/>
    </xf>
    <xf numFmtId="10" fontId="9" fillId="0" borderId="8" xfId="1" applyNumberFormat="1" applyFont="1" applyBorder="1" applyAlignment="1">
      <alignment horizontal="center" vertical="center"/>
    </xf>
    <xf numFmtId="10" fontId="9" fillId="2" borderId="8" xfId="1" applyNumberFormat="1" applyFont="1" applyFill="1" applyBorder="1" applyAlignment="1">
      <alignment horizontal="center" vertical="center"/>
    </xf>
    <xf numFmtId="10" fontId="9" fillId="2" borderId="9" xfId="1" applyNumberFormat="1" applyFont="1" applyFill="1" applyBorder="1" applyAlignment="1">
      <alignment horizontal="center" vertical="center"/>
    </xf>
    <xf numFmtId="9" fontId="3" fillId="2" borderId="0" xfId="1" applyNumberFormat="1" applyFont="1" applyFill="1" applyBorder="1" applyAlignment="1">
      <alignment horizontal="center" vertical="center"/>
    </xf>
    <xf numFmtId="9" fontId="15" fillId="0" borderId="11" xfId="5" applyNumberFormat="1" applyFont="1" applyBorder="1">
      <alignment vertical="center"/>
    </xf>
    <xf numFmtId="9" fontId="15" fillId="0" borderId="13" xfId="5" applyNumberFormat="1" applyFont="1" applyBorder="1">
      <alignment vertical="center"/>
    </xf>
    <xf numFmtId="0" fontId="17" fillId="3" borderId="10" xfId="3" applyNumberFormat="1" applyFont="1" applyFill="1" applyBorder="1" applyAlignment="1">
      <alignment vertical="center"/>
    </xf>
    <xf numFmtId="0" fontId="17" fillId="3" borderId="11" xfId="3" applyNumberFormat="1" applyFont="1" applyFill="1" applyBorder="1" applyAlignment="1">
      <alignment vertical="center"/>
    </xf>
    <xf numFmtId="0" fontId="17" fillId="3" borderId="14" xfId="3" applyNumberFormat="1" applyFont="1" applyFill="1" applyBorder="1" applyAlignment="1">
      <alignment vertical="center"/>
    </xf>
    <xf numFmtId="0" fontId="15" fillId="0" borderId="10" xfId="3" applyNumberFormat="1" applyFont="1" applyBorder="1" applyAlignment="1">
      <alignment vertical="center"/>
    </xf>
    <xf numFmtId="0" fontId="15" fillId="0" borderId="11" xfId="3" applyNumberFormat="1" applyFont="1" applyBorder="1" applyAlignment="1">
      <alignment vertical="center"/>
    </xf>
    <xf numFmtId="9" fontId="15" fillId="0" borderId="11" xfId="3" applyNumberFormat="1" applyFont="1" applyBorder="1" applyAlignment="1">
      <alignment vertical="center"/>
    </xf>
    <xf numFmtId="9" fontId="15" fillId="0" borderId="14" xfId="3" applyNumberFormat="1" applyFont="1" applyBorder="1" applyAlignment="1">
      <alignment vertical="center"/>
    </xf>
    <xf numFmtId="0" fontId="15" fillId="0" borderId="12" xfId="3" applyNumberFormat="1" applyFont="1" applyBorder="1" applyAlignment="1">
      <alignment vertical="center"/>
    </xf>
    <xf numFmtId="0" fontId="15" fillId="0" borderId="13" xfId="3" applyNumberFormat="1" applyFont="1" applyBorder="1" applyAlignment="1">
      <alignment vertical="center"/>
    </xf>
    <xf numFmtId="9" fontId="15" fillId="0" borderId="13" xfId="3" applyNumberFormat="1" applyFont="1" applyBorder="1" applyAlignment="1">
      <alignment vertical="center"/>
    </xf>
    <xf numFmtId="9" fontId="15" fillId="0" borderId="15" xfId="3" applyNumberFormat="1" applyFont="1" applyBorder="1" applyAlignment="1">
      <alignment vertical="center"/>
    </xf>
  </cellXfs>
  <cellStyles count="7">
    <cellStyle name="百分比" xfId="1" builtinId="5"/>
    <cellStyle name="百分比 2" xfId="4"/>
    <cellStyle name="百分比 3" xfId="5"/>
    <cellStyle name="常规" xfId="0" builtinId="0"/>
    <cellStyle name="常规 2" xfId="2"/>
    <cellStyle name="常规 2 2" xfId="3"/>
    <cellStyle name="常规 3" xfId="6"/>
  </cellStyles>
  <dxfs count="22">
    <dxf>
      <numFmt numFmtId="186" formatCode="0.000"/>
    </dxf>
    <dxf>
      <numFmt numFmtId="2" formatCode="0.00"/>
    </dxf>
    <dxf>
      <numFmt numFmtId="187" formatCode="0.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30" formatCode="@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30" formatCode="@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微软雅黑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</dxf>
    <dxf>
      <numFmt numFmtId="2" formatCode="0.00"/>
    </dxf>
    <dxf>
      <numFmt numFmtId="187" formatCode="0.0"/>
    </dxf>
    <dxf>
      <numFmt numFmtId="2" formatCode="0.00"/>
    </dxf>
    <dxf>
      <numFmt numFmtId="186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pivotCacheDefinition" Target="pivotCache/pivotCacheDefinition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周涨跌幅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基本信息!$E$7</c:f>
              <c:strCache>
                <c:ptCount val="1"/>
                <c:pt idx="0">
                  <c:v>周涨跌幅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基本信息!$D$8:$D$15</c:f>
              <c:strCache>
                <c:ptCount val="8"/>
                <c:pt idx="0">
                  <c:v>上证指数</c:v>
                </c:pt>
                <c:pt idx="1">
                  <c:v>中证A500</c:v>
                </c:pt>
                <c:pt idx="2">
                  <c:v>沪深300</c:v>
                </c:pt>
                <c:pt idx="3">
                  <c:v>中证500</c:v>
                </c:pt>
                <c:pt idx="4">
                  <c:v>中证1000</c:v>
                </c:pt>
                <c:pt idx="5">
                  <c:v>创业板50</c:v>
                </c:pt>
                <c:pt idx="6">
                  <c:v>创业板指</c:v>
                </c:pt>
                <c:pt idx="7">
                  <c:v>科创50</c:v>
                </c:pt>
              </c:strCache>
            </c:strRef>
          </c:cat>
          <c:val>
            <c:numRef>
              <c:f>基本信息!$E$8:$E$15</c:f>
              <c:numCache>
                <c:formatCode>0.00%</c:formatCode>
                <c:ptCount val="8"/>
                <c:pt idx="0">
                  <c:v>-3.3792587063419005E-2</c:v>
                </c:pt>
                <c:pt idx="1">
                  <c:v>-3.1751159236169002E-2</c:v>
                </c:pt>
                <c:pt idx="2">
                  <c:v>-2.1871715133835998E-2</c:v>
                </c:pt>
                <c:pt idx="3">
                  <c:v>-5.8224910367948003E-2</c:v>
                </c:pt>
                <c:pt idx="4">
                  <c:v>-5.2452246466116993E-2</c:v>
                </c:pt>
                <c:pt idx="5">
                  <c:v>2.2350861462813999E-2</c:v>
                </c:pt>
                <c:pt idx="6">
                  <c:v>1.2634800238373E-2</c:v>
                </c:pt>
                <c:pt idx="7">
                  <c:v>-4.0278589189053998E-2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F-41F3-922C-C0F6A98C3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3452912"/>
        <c:axId val="993454880"/>
      </c:barChart>
      <c:catAx>
        <c:axId val="99345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3454880"/>
        <c:crosses val="autoZero"/>
        <c:auto val="1"/>
        <c:lblAlgn val="ctr"/>
        <c:lblOffset val="100"/>
        <c:noMultiLvlLbl val="0"/>
      </c:catAx>
      <c:valAx>
        <c:axId val="993454880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3452912"/>
        <c:crosses val="autoZero"/>
        <c:crossBetween val="between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估值及分位数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基本信息!$F$7</c:f>
              <c:strCache>
                <c:ptCount val="1"/>
                <c:pt idx="0">
                  <c:v>PE（TTM)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基本信息!$D$8:$D$15</c:f>
              <c:strCache>
                <c:ptCount val="8"/>
                <c:pt idx="0">
                  <c:v>上证指数</c:v>
                </c:pt>
                <c:pt idx="1">
                  <c:v>中证A500</c:v>
                </c:pt>
                <c:pt idx="2">
                  <c:v>沪深300</c:v>
                </c:pt>
                <c:pt idx="3">
                  <c:v>中证500</c:v>
                </c:pt>
                <c:pt idx="4">
                  <c:v>中证1000</c:v>
                </c:pt>
                <c:pt idx="5">
                  <c:v>创业板50</c:v>
                </c:pt>
                <c:pt idx="6">
                  <c:v>创业板指</c:v>
                </c:pt>
                <c:pt idx="7">
                  <c:v>科创50</c:v>
                </c:pt>
              </c:strCache>
            </c:strRef>
          </c:cat>
          <c:val>
            <c:numRef>
              <c:f>基本信息!$F$8:$F$15</c:f>
              <c:numCache>
                <c:formatCode>#,##0.00</c:formatCode>
                <c:ptCount val="8"/>
                <c:pt idx="0">
                  <c:v>16.611159999070001</c:v>
                </c:pt>
                <c:pt idx="1">
                  <c:v>16.99030268928</c:v>
                </c:pt>
                <c:pt idx="2">
                  <c:v>14.03375178698</c:v>
                </c:pt>
                <c:pt idx="3">
                  <c:v>35.356773099420003</c:v>
                </c:pt>
                <c:pt idx="4">
                  <c:v>48.114002933942999</c:v>
                </c:pt>
                <c:pt idx="5">
                  <c:v>41.522295033436002</c:v>
                </c:pt>
                <c:pt idx="6">
                  <c:v>41.448452139948998</c:v>
                </c:pt>
                <c:pt idx="7">
                  <c:v>153.67249871633999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7A-4AF5-B63B-D9C91EF1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7502424"/>
        <c:axId val="977504064"/>
      </c:barChart>
      <c:lineChart>
        <c:grouping val="standard"/>
        <c:varyColors val="0"/>
        <c:ser>
          <c:idx val="1"/>
          <c:order val="1"/>
          <c:tx>
            <c:strRef>
              <c:f>基本信息!$G$7</c:f>
              <c:strCache>
                <c:ptCount val="1"/>
                <c:pt idx="0">
                  <c:v>近十年市盈率分位数（右轴）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25400">
                <a:solidFill>
                  <a:schemeClr val="accent2"/>
                </a:solidFill>
              </a:ln>
              <a:effectLst/>
            </c:spPr>
          </c:marker>
          <c:cat>
            <c:strRef>
              <c:f>基本信息!$D$8:$D$15</c:f>
              <c:strCache>
                <c:ptCount val="8"/>
                <c:pt idx="0">
                  <c:v>上证指数</c:v>
                </c:pt>
                <c:pt idx="1">
                  <c:v>中证A500</c:v>
                </c:pt>
                <c:pt idx="2">
                  <c:v>沪深300</c:v>
                </c:pt>
                <c:pt idx="3">
                  <c:v>中证500</c:v>
                </c:pt>
                <c:pt idx="4">
                  <c:v>中证1000</c:v>
                </c:pt>
                <c:pt idx="5">
                  <c:v>创业板50</c:v>
                </c:pt>
                <c:pt idx="6">
                  <c:v>创业板指</c:v>
                </c:pt>
                <c:pt idx="7">
                  <c:v>科创50</c:v>
                </c:pt>
              </c:strCache>
            </c:strRef>
          </c:cat>
          <c:val>
            <c:numRef>
              <c:f>基本信息!$G$8:$G$15</c:f>
              <c:numCache>
                <c:formatCode>0.00%</c:formatCode>
                <c:ptCount val="8"/>
                <c:pt idx="0">
                  <c:v>0.96852548751282996</c:v>
                </c:pt>
                <c:pt idx="1">
                  <c:v>0.85234899328859004</c:v>
                </c:pt>
                <c:pt idx="2">
                  <c:v>0.81418181818182012</c:v>
                </c:pt>
                <c:pt idx="3">
                  <c:v>0.87151037938440001</c:v>
                </c:pt>
                <c:pt idx="4">
                  <c:v>0.74682239780144</c:v>
                </c:pt>
                <c:pt idx="5">
                  <c:v>0.43021868787275996</c:v>
                </c:pt>
                <c:pt idx="6">
                  <c:v>0.41047693510555</c:v>
                </c:pt>
                <c:pt idx="7">
                  <c:v>0.91706001348618005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7A-4AF5-B63B-D9C91EF1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7501440"/>
        <c:axId val="977504720"/>
      </c:lineChart>
      <c:catAx>
        <c:axId val="977502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7504064"/>
        <c:crosses val="autoZero"/>
        <c:auto val="1"/>
        <c:lblAlgn val="ctr"/>
        <c:lblOffset val="100"/>
        <c:noMultiLvlLbl val="0"/>
      </c:catAx>
      <c:valAx>
        <c:axId val="977504064"/>
        <c:scaling>
          <c:orientation val="minMax"/>
        </c:scaling>
        <c:delete val="0"/>
        <c:axPos val="l"/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7502424"/>
        <c:crosses val="autoZero"/>
        <c:crossBetween val="between"/>
      </c:valAx>
      <c:valAx>
        <c:axId val="977504720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7501440"/>
        <c:crosses val="max"/>
        <c:crossBetween val="between"/>
      </c:valAx>
      <c:catAx>
        <c:axId val="9775014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775047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A</a:t>
            </a:r>
            <a:r>
              <a:rPr lang="zh-CN" sz="1400"/>
              <a:t>股行业表现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行业!$C$4:$C$34</c:f>
              <c:strCache>
                <c:ptCount val="31"/>
                <c:pt idx="0">
                  <c:v>通信</c:v>
                </c:pt>
                <c:pt idx="1">
                  <c:v>银行</c:v>
                </c:pt>
                <c:pt idx="2">
                  <c:v>食品饮料</c:v>
                </c:pt>
                <c:pt idx="3">
                  <c:v>公用事业</c:v>
                </c:pt>
                <c:pt idx="4">
                  <c:v>煤炭</c:v>
                </c:pt>
                <c:pt idx="5">
                  <c:v>非银金融</c:v>
                </c:pt>
                <c:pt idx="6">
                  <c:v>交通运输</c:v>
                </c:pt>
                <c:pt idx="7">
                  <c:v>医药生物</c:v>
                </c:pt>
                <c:pt idx="8">
                  <c:v>电子</c:v>
                </c:pt>
                <c:pt idx="9">
                  <c:v>电力设备</c:v>
                </c:pt>
                <c:pt idx="10">
                  <c:v>家用电器</c:v>
                </c:pt>
                <c:pt idx="11">
                  <c:v>轻工制造</c:v>
                </c:pt>
                <c:pt idx="12">
                  <c:v>传媒</c:v>
                </c:pt>
                <c:pt idx="13">
                  <c:v>社会服务</c:v>
                </c:pt>
                <c:pt idx="14">
                  <c:v>房地产</c:v>
                </c:pt>
                <c:pt idx="15">
                  <c:v>汽车</c:v>
                </c:pt>
                <c:pt idx="16">
                  <c:v>农林牧渔</c:v>
                </c:pt>
                <c:pt idx="17">
                  <c:v>商贸零售</c:v>
                </c:pt>
                <c:pt idx="18">
                  <c:v>石油石化</c:v>
                </c:pt>
                <c:pt idx="19">
                  <c:v>计算机</c:v>
                </c:pt>
                <c:pt idx="20">
                  <c:v>美容护理</c:v>
                </c:pt>
                <c:pt idx="21">
                  <c:v>纺织服饰</c:v>
                </c:pt>
                <c:pt idx="22">
                  <c:v>环保</c:v>
                </c:pt>
                <c:pt idx="23">
                  <c:v>建筑装饰</c:v>
                </c:pt>
                <c:pt idx="24">
                  <c:v>机械设备</c:v>
                </c:pt>
                <c:pt idx="25">
                  <c:v>国防军工</c:v>
                </c:pt>
                <c:pt idx="26">
                  <c:v>建筑材料</c:v>
                </c:pt>
                <c:pt idx="27">
                  <c:v>综合</c:v>
                </c:pt>
                <c:pt idx="28">
                  <c:v>钢铁</c:v>
                </c:pt>
                <c:pt idx="29">
                  <c:v>基础化工</c:v>
                </c:pt>
                <c:pt idx="30">
                  <c:v>有色金属</c:v>
                </c:pt>
              </c:strCache>
            </c:strRef>
          </c:cat>
          <c:val>
            <c:numRef>
              <c:f>行业!$E$4:$E$34</c:f>
              <c:numCache>
                <c:formatCode>0.00%</c:formatCode>
                <c:ptCount val="31"/>
                <c:pt idx="0">
                  <c:v>2.1035164101994002E-2</c:v>
                </c:pt>
                <c:pt idx="1">
                  <c:v>3.5782108945528E-3</c:v>
                </c:pt>
                <c:pt idx="2">
                  <c:v>-4.8435518289614002E-3</c:v>
                </c:pt>
                <c:pt idx="3">
                  <c:v>-2.3531187448117E-2</c:v>
                </c:pt>
                <c:pt idx="4">
                  <c:v>-2.4637292321184997E-2</c:v>
                </c:pt>
                <c:pt idx="5">
                  <c:v>-2.5500177452419E-2</c:v>
                </c:pt>
                <c:pt idx="6">
                  <c:v>-2.6480679647730997E-2</c:v>
                </c:pt>
                <c:pt idx="7">
                  <c:v>-2.7749189730100002E-2</c:v>
                </c:pt>
                <c:pt idx="8">
                  <c:v>-2.8449779108559E-2</c:v>
                </c:pt>
                <c:pt idx="9">
                  <c:v>-3.0550104995008001E-2</c:v>
                </c:pt>
                <c:pt idx="10">
                  <c:v>-3.3034329444280003E-2</c:v>
                </c:pt>
                <c:pt idx="11">
                  <c:v>-3.4676389289824E-2</c:v>
                </c:pt>
                <c:pt idx="12">
                  <c:v>-3.7828231539243001E-2</c:v>
                </c:pt>
                <c:pt idx="13">
                  <c:v>-3.9997543079861003E-2</c:v>
                </c:pt>
                <c:pt idx="14">
                  <c:v>-4.2110708269244998E-2</c:v>
                </c:pt>
                <c:pt idx="15">
                  <c:v>-4.4012688848749003E-2</c:v>
                </c:pt>
                <c:pt idx="16">
                  <c:v>-4.4992222479480003E-2</c:v>
                </c:pt>
                <c:pt idx="17">
                  <c:v>-4.5506780050562995E-2</c:v>
                </c:pt>
                <c:pt idx="18">
                  <c:v>-4.5792518149091001E-2</c:v>
                </c:pt>
                <c:pt idx="19">
                  <c:v>-4.7385851648093003E-2</c:v>
                </c:pt>
                <c:pt idx="20">
                  <c:v>-4.7838703337610998E-2</c:v>
                </c:pt>
                <c:pt idx="21">
                  <c:v>-5.4277712008777998E-2</c:v>
                </c:pt>
                <c:pt idx="22">
                  <c:v>-5.5937034252034001E-2</c:v>
                </c:pt>
                <c:pt idx="23">
                  <c:v>-6.2461759793627003E-2</c:v>
                </c:pt>
                <c:pt idx="24">
                  <c:v>-6.2617445335512001E-2</c:v>
                </c:pt>
                <c:pt idx="25">
                  <c:v>-6.2621969944624004E-2</c:v>
                </c:pt>
                <c:pt idx="26">
                  <c:v>-7.9468726286739011E-2</c:v>
                </c:pt>
                <c:pt idx="27">
                  <c:v>-7.9889807162534007E-2</c:v>
                </c:pt>
                <c:pt idx="28">
                  <c:v>-0.1028914025018</c:v>
                </c:pt>
                <c:pt idx="29">
                  <c:v>-0.10532556867786999</c:v>
                </c:pt>
                <c:pt idx="30">
                  <c:v>-0.11820401997573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28-4CBB-A8FC-0DCB64B43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9498552"/>
        <c:axId val="992862912"/>
      </c:barChart>
      <c:catAx>
        <c:axId val="759498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2862912"/>
        <c:crosses val="autoZero"/>
        <c:auto val="1"/>
        <c:lblAlgn val="ctr"/>
        <c:lblOffset val="100"/>
        <c:noMultiLvlLbl val="0"/>
      </c:catAx>
      <c:valAx>
        <c:axId val="992862912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9498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创业板</a:t>
            </a:r>
            <a:r>
              <a:rPr lang="en-US" altLang="zh-CN"/>
              <a:t>50</a:t>
            </a:r>
            <a:r>
              <a:rPr lang="zh-CN" altLang="en-US"/>
              <a:t>指数所覆盖行业周涨跌幅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行业!$K$2</c:f>
              <c:strCache>
                <c:ptCount val="1"/>
                <c:pt idx="0">
                  <c:v>占比（%）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行业!$J$3:$J$12</c:f>
              <c:strCache>
                <c:ptCount val="10"/>
                <c:pt idx="0">
                  <c:v>电力设备</c:v>
                </c:pt>
                <c:pt idx="1">
                  <c:v>通信</c:v>
                </c:pt>
                <c:pt idx="2">
                  <c:v>电子</c:v>
                </c:pt>
                <c:pt idx="3">
                  <c:v>非银金融</c:v>
                </c:pt>
                <c:pt idx="4">
                  <c:v>医药生物</c:v>
                </c:pt>
                <c:pt idx="5">
                  <c:v>计算机</c:v>
                </c:pt>
                <c:pt idx="6">
                  <c:v>传媒</c:v>
                </c:pt>
                <c:pt idx="7">
                  <c:v>机械设备</c:v>
                </c:pt>
                <c:pt idx="8">
                  <c:v>国防军工</c:v>
                </c:pt>
                <c:pt idx="9">
                  <c:v>有色金属</c:v>
                </c:pt>
              </c:strCache>
            </c:strRef>
          </c:cat>
          <c:val>
            <c:numRef>
              <c:f>行业!$K$3:$K$12</c:f>
              <c:numCache>
                <c:formatCode>0.00</c:formatCode>
                <c:ptCount val="10"/>
                <c:pt idx="0">
                  <c:v>30.986999999999998</c:v>
                </c:pt>
                <c:pt idx="1">
                  <c:v>23.436299999999999</c:v>
                </c:pt>
                <c:pt idx="2">
                  <c:v>17.017100000000003</c:v>
                </c:pt>
                <c:pt idx="3">
                  <c:v>6.516</c:v>
                </c:pt>
                <c:pt idx="4">
                  <c:v>6.0359999999999996</c:v>
                </c:pt>
                <c:pt idx="5">
                  <c:v>5.5861000000000001</c:v>
                </c:pt>
                <c:pt idx="6">
                  <c:v>3.7759999999999998</c:v>
                </c:pt>
                <c:pt idx="7">
                  <c:v>3.6958000000000002</c:v>
                </c:pt>
                <c:pt idx="8">
                  <c:v>2.3235000000000001</c:v>
                </c:pt>
                <c:pt idx="9">
                  <c:v>0.62609999999999999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B-4964-9CFA-33F47FF1F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3683344"/>
        <c:axId val="753683672"/>
      </c:barChart>
      <c:lineChart>
        <c:grouping val="stacked"/>
        <c:varyColors val="0"/>
        <c:ser>
          <c:idx val="1"/>
          <c:order val="1"/>
          <c:tx>
            <c:strRef>
              <c:f>行业!$L$2</c:f>
              <c:strCache>
                <c:ptCount val="1"/>
                <c:pt idx="0">
                  <c:v>周涨跌幅（右轴）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行业!$J$3:$J$12</c:f>
              <c:strCache>
                <c:ptCount val="10"/>
                <c:pt idx="0">
                  <c:v>电力设备</c:v>
                </c:pt>
                <c:pt idx="1">
                  <c:v>通信</c:v>
                </c:pt>
                <c:pt idx="2">
                  <c:v>电子</c:v>
                </c:pt>
                <c:pt idx="3">
                  <c:v>非银金融</c:v>
                </c:pt>
                <c:pt idx="4">
                  <c:v>医药生物</c:v>
                </c:pt>
                <c:pt idx="5">
                  <c:v>计算机</c:v>
                </c:pt>
                <c:pt idx="6">
                  <c:v>传媒</c:v>
                </c:pt>
                <c:pt idx="7">
                  <c:v>机械设备</c:v>
                </c:pt>
                <c:pt idx="8">
                  <c:v>国防军工</c:v>
                </c:pt>
                <c:pt idx="9">
                  <c:v>有色金属</c:v>
                </c:pt>
              </c:strCache>
            </c:strRef>
          </c:cat>
          <c:val>
            <c:numRef>
              <c:f>行业!$L$3:$L$12</c:f>
              <c:numCache>
                <c:formatCode>0.00%</c:formatCode>
                <c:ptCount val="10"/>
                <c:pt idx="0">
                  <c:v>-3.0550104995008001E-2</c:v>
                </c:pt>
                <c:pt idx="1">
                  <c:v>2.1035164101994002E-2</c:v>
                </c:pt>
                <c:pt idx="2">
                  <c:v>-2.8449779108559E-2</c:v>
                </c:pt>
                <c:pt idx="3">
                  <c:v>-2.5500177452419E-2</c:v>
                </c:pt>
                <c:pt idx="4">
                  <c:v>-2.7749189730100002E-2</c:v>
                </c:pt>
                <c:pt idx="5">
                  <c:v>-4.7385851648093003E-2</c:v>
                </c:pt>
                <c:pt idx="6">
                  <c:v>-3.7828231539243001E-2</c:v>
                </c:pt>
                <c:pt idx="7">
                  <c:v>-6.2617445335512001E-2</c:v>
                </c:pt>
                <c:pt idx="8">
                  <c:v>-6.2621969944624004E-2</c:v>
                </c:pt>
                <c:pt idx="9">
                  <c:v>-0.11820401997573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6B-4964-9CFA-33F47FF1F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5368152"/>
        <c:axId val="1085366184"/>
      </c:lineChart>
      <c:catAx>
        <c:axId val="75368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3683672"/>
        <c:crosses val="autoZero"/>
        <c:auto val="1"/>
        <c:lblAlgn val="ctr"/>
        <c:lblOffset val="100"/>
        <c:noMultiLvlLbl val="0"/>
      </c:catAx>
      <c:valAx>
        <c:axId val="753683672"/>
        <c:scaling>
          <c:orientation val="minMax"/>
        </c:scaling>
        <c:delete val="0"/>
        <c:axPos val="l"/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3683344"/>
        <c:crosses val="autoZero"/>
        <c:crossBetween val="between"/>
      </c:valAx>
      <c:valAx>
        <c:axId val="1085366184"/>
        <c:scaling>
          <c:orientation val="minMax"/>
        </c:scaling>
        <c:delete val="0"/>
        <c:axPos val="r"/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85368152"/>
        <c:crosses val="max"/>
        <c:crossBetween val="between"/>
      </c:valAx>
      <c:catAx>
        <c:axId val="1085368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853661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行业!$C$4:$C$34</c:f>
              <c:strCache>
                <c:ptCount val="31"/>
                <c:pt idx="0">
                  <c:v>通信</c:v>
                </c:pt>
                <c:pt idx="1">
                  <c:v>银行</c:v>
                </c:pt>
                <c:pt idx="2">
                  <c:v>食品饮料</c:v>
                </c:pt>
                <c:pt idx="3">
                  <c:v>公用事业</c:v>
                </c:pt>
                <c:pt idx="4">
                  <c:v>煤炭</c:v>
                </c:pt>
                <c:pt idx="5">
                  <c:v>非银金融</c:v>
                </c:pt>
                <c:pt idx="6">
                  <c:v>交通运输</c:v>
                </c:pt>
                <c:pt idx="7">
                  <c:v>医药生物</c:v>
                </c:pt>
                <c:pt idx="8">
                  <c:v>电子</c:v>
                </c:pt>
                <c:pt idx="9">
                  <c:v>电力设备</c:v>
                </c:pt>
                <c:pt idx="10">
                  <c:v>家用电器</c:v>
                </c:pt>
                <c:pt idx="11">
                  <c:v>轻工制造</c:v>
                </c:pt>
                <c:pt idx="12">
                  <c:v>传媒</c:v>
                </c:pt>
                <c:pt idx="13">
                  <c:v>社会服务</c:v>
                </c:pt>
                <c:pt idx="14">
                  <c:v>房地产</c:v>
                </c:pt>
                <c:pt idx="15">
                  <c:v>汽车</c:v>
                </c:pt>
                <c:pt idx="16">
                  <c:v>农林牧渔</c:v>
                </c:pt>
                <c:pt idx="17">
                  <c:v>商贸零售</c:v>
                </c:pt>
                <c:pt idx="18">
                  <c:v>石油石化</c:v>
                </c:pt>
                <c:pt idx="19">
                  <c:v>计算机</c:v>
                </c:pt>
                <c:pt idx="20">
                  <c:v>美容护理</c:v>
                </c:pt>
                <c:pt idx="21">
                  <c:v>纺织服饰</c:v>
                </c:pt>
                <c:pt idx="22">
                  <c:v>环保</c:v>
                </c:pt>
                <c:pt idx="23">
                  <c:v>建筑装饰</c:v>
                </c:pt>
                <c:pt idx="24">
                  <c:v>机械设备</c:v>
                </c:pt>
                <c:pt idx="25">
                  <c:v>国防军工</c:v>
                </c:pt>
                <c:pt idx="26">
                  <c:v>建筑材料</c:v>
                </c:pt>
                <c:pt idx="27">
                  <c:v>综合</c:v>
                </c:pt>
                <c:pt idx="28">
                  <c:v>钢铁</c:v>
                </c:pt>
                <c:pt idx="29">
                  <c:v>基础化工</c:v>
                </c:pt>
                <c:pt idx="30">
                  <c:v>有色金属</c:v>
                </c:pt>
              </c:strCache>
            </c:strRef>
          </c:cat>
          <c:val>
            <c:numRef>
              <c:f>行业!$E$4:$E$34</c:f>
              <c:numCache>
                <c:formatCode>0.00%</c:formatCode>
                <c:ptCount val="31"/>
                <c:pt idx="0">
                  <c:v>2.1035164101994002E-2</c:v>
                </c:pt>
                <c:pt idx="1">
                  <c:v>3.5782108945528E-3</c:v>
                </c:pt>
                <c:pt idx="2">
                  <c:v>-4.8435518289614002E-3</c:v>
                </c:pt>
                <c:pt idx="3">
                  <c:v>-2.3531187448117E-2</c:v>
                </c:pt>
                <c:pt idx="4">
                  <c:v>-2.4637292321184997E-2</c:v>
                </c:pt>
                <c:pt idx="5">
                  <c:v>-2.5500177452419E-2</c:v>
                </c:pt>
                <c:pt idx="6">
                  <c:v>-2.6480679647730997E-2</c:v>
                </c:pt>
                <c:pt idx="7">
                  <c:v>-2.7749189730100002E-2</c:v>
                </c:pt>
                <c:pt idx="8">
                  <c:v>-2.8449779108559E-2</c:v>
                </c:pt>
                <c:pt idx="9">
                  <c:v>-3.0550104995008001E-2</c:v>
                </c:pt>
                <c:pt idx="10">
                  <c:v>-3.3034329444280003E-2</c:v>
                </c:pt>
                <c:pt idx="11">
                  <c:v>-3.4676389289824E-2</c:v>
                </c:pt>
                <c:pt idx="12">
                  <c:v>-3.7828231539243001E-2</c:v>
                </c:pt>
                <c:pt idx="13">
                  <c:v>-3.9997543079861003E-2</c:v>
                </c:pt>
                <c:pt idx="14">
                  <c:v>-4.2110708269244998E-2</c:v>
                </c:pt>
                <c:pt idx="15">
                  <c:v>-4.4012688848749003E-2</c:v>
                </c:pt>
                <c:pt idx="16">
                  <c:v>-4.4992222479480003E-2</c:v>
                </c:pt>
                <c:pt idx="17">
                  <c:v>-4.5506780050562995E-2</c:v>
                </c:pt>
                <c:pt idx="18">
                  <c:v>-4.5792518149091001E-2</c:v>
                </c:pt>
                <c:pt idx="19">
                  <c:v>-4.7385851648093003E-2</c:v>
                </c:pt>
                <c:pt idx="20">
                  <c:v>-4.7838703337610998E-2</c:v>
                </c:pt>
                <c:pt idx="21">
                  <c:v>-5.4277712008777998E-2</c:v>
                </c:pt>
                <c:pt idx="22">
                  <c:v>-5.5937034252034001E-2</c:v>
                </c:pt>
                <c:pt idx="23">
                  <c:v>-6.2461759793627003E-2</c:v>
                </c:pt>
                <c:pt idx="24">
                  <c:v>-6.2617445335512001E-2</c:v>
                </c:pt>
                <c:pt idx="25">
                  <c:v>-6.2621969944624004E-2</c:v>
                </c:pt>
                <c:pt idx="26">
                  <c:v>-7.9468726286739011E-2</c:v>
                </c:pt>
                <c:pt idx="27">
                  <c:v>-7.9889807162534007E-2</c:v>
                </c:pt>
                <c:pt idx="28">
                  <c:v>-0.1028914025018</c:v>
                </c:pt>
                <c:pt idx="29">
                  <c:v>-0.10532556867786999</c:v>
                </c:pt>
                <c:pt idx="30">
                  <c:v>-0.11820401997573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A-4118-AADC-D30318F3E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073416"/>
        <c:axId val="937066856"/>
      </c:barChart>
      <c:catAx>
        <c:axId val="937073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7066856"/>
        <c:crosses val="autoZero"/>
        <c:auto val="1"/>
        <c:lblAlgn val="ctr"/>
        <c:lblOffset val="100"/>
        <c:noMultiLvlLbl val="0"/>
      </c:catAx>
      <c:valAx>
        <c:axId val="937066856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7073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 sz="900">
          <a:solidFill>
            <a:schemeClr val="tx1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../ppt/media/image149.svg"/><Relationship Id="rId7" Type="http://schemas.openxmlformats.org/officeDocument/2006/relationships/image" Target="../media/image3.png"/><Relationship Id="rId12" Type="http://schemas.openxmlformats.org/officeDocument/2006/relationships/image" Target="../../ppt/media/image153.svg"/><Relationship Id="rId1" Type="http://schemas.openxmlformats.org/officeDocument/2006/relationships/image" Target="../media/image1.png"/><Relationship Id="rId6" Type="http://schemas.openxmlformats.org/officeDocument/2006/relationships/image" Target="../../ppt/media/image147.svg"/><Relationship Id="rId11" Type="http://schemas.openxmlformats.org/officeDocument/2006/relationships/image" Target="../media/image5.png"/><Relationship Id="rId5" Type="http://schemas.openxmlformats.org/officeDocument/2006/relationships/image" Target="../media/image2.png"/><Relationship Id="rId10" Type="http://schemas.openxmlformats.org/officeDocument/2006/relationships/image" Target="../../ppt/media/image151.svg"/><Relationship Id="rId4" Type="http://schemas.openxmlformats.org/officeDocument/2006/relationships/image" Target="../../ppt/media/image145.svg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609600</xdr:colOff>
      <xdr:row>19</xdr:row>
      <xdr:rowOff>119062</xdr:rowOff>
    </xdr:from>
    <xdr:to>
      <xdr:col>7</xdr:col>
      <xdr:colOff>542925</xdr:colOff>
      <xdr:row>34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504825</xdr:colOff>
      <xdr:row>11</xdr:row>
      <xdr:rowOff>61912</xdr:rowOff>
    </xdr:from>
    <xdr:to>
      <xdr:col>16</xdr:col>
      <xdr:colOff>276225</xdr:colOff>
      <xdr:row>26</xdr:row>
      <xdr:rowOff>100012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35</xdr:row>
      <xdr:rowOff>57150</xdr:rowOff>
    </xdr:from>
    <xdr:to>
      <xdr:col>6</xdr:col>
      <xdr:colOff>285750</xdr:colOff>
      <xdr:row>51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371475</xdr:colOff>
      <xdr:row>19</xdr:row>
      <xdr:rowOff>66675</xdr:rowOff>
    </xdr:from>
    <xdr:to>
      <xdr:col>12</xdr:col>
      <xdr:colOff>495300</xdr:colOff>
      <xdr:row>35</xdr:row>
      <xdr:rowOff>66675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52</xdr:row>
      <xdr:rowOff>0</xdr:rowOff>
    </xdr:from>
    <xdr:to>
      <xdr:col>6</xdr:col>
      <xdr:colOff>85726</xdr:colOff>
      <xdr:row>68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26</xdr:row>
      <xdr:rowOff>0</xdr:rowOff>
    </xdr:from>
    <xdr:to>
      <xdr:col>21</xdr:col>
      <xdr:colOff>501775</xdr:colOff>
      <xdr:row>47</xdr:row>
      <xdr:rowOff>166060</xdr:rowOff>
    </xdr:to>
    <xdr:grpSp>
      <xdr:nvGrpSpPr>
        <xdr:cNvPr id="20" name="组合 19"/>
        <xdr:cNvGrpSpPr/>
      </xdr:nvGrpSpPr>
      <xdr:grpSpPr>
        <a:xfrm>
          <a:off x="13125450" y="4781550"/>
          <a:ext cx="5311900" cy="3966535"/>
          <a:chOff x="13125450" y="4781550"/>
          <a:chExt cx="5311900" cy="3966535"/>
        </a:xfrm>
      </xdr:grpSpPr>
      <xdr:grpSp>
        <xdr:nvGrpSpPr>
          <xdr:cNvPr id="2" name="组合 1"/>
          <xdr:cNvGrpSpPr/>
        </xdr:nvGrpSpPr>
        <xdr:grpSpPr>
          <a:xfrm>
            <a:off x="13125450" y="4781550"/>
            <a:ext cx="5311900" cy="3966535"/>
            <a:chOff x="3304198" y="711347"/>
            <a:chExt cx="5311900" cy="3966535"/>
          </a:xfrm>
        </xdr:grpSpPr>
        <xdr:sp macro="" textlink="">
          <xdr:nvSpPr>
            <xdr:cNvPr id="3" name="矩形: 圆角 10">
              <a:extLst>
                <a:ext uri="{FF2B5EF4-FFF2-40B4-BE49-F238E27FC236}">
                  <a16:creationId xmlns:a16="http://schemas.microsoft.com/office/drawing/2014/main" id="{BCF509E5-704C-9302-D806-425C4B212036}"/>
                </a:ext>
              </a:extLst>
            </xdr:cNvPr>
            <xdr:cNvSpPr/>
          </xdr:nvSpPr>
          <xdr:spPr>
            <a:xfrm>
              <a:off x="3304198" y="711347"/>
              <a:ext cx="5311900" cy="3966535"/>
            </a:xfrm>
            <a:prstGeom prst="roundRect">
              <a:avLst>
                <a:gd name="adj" fmla="val 1871"/>
              </a:avLst>
            </a:prstGeom>
            <a:gradFill>
              <a:gsLst>
                <a:gs pos="0">
                  <a:sysClr val="window" lastClr="FFFFFF"/>
                </a:gs>
                <a:gs pos="100000">
                  <a:sysClr val="window" lastClr="FFFFFF"/>
                </a:gs>
                <a:gs pos="46000">
                  <a:srgbClr val="0048BF">
                    <a:lumMod val="5000"/>
                    <a:lumOff val="95000"/>
                  </a:srgbClr>
                </a:gs>
              </a:gsLst>
              <a:path path="circle">
                <a:fillToRect r="100000" b="100000"/>
              </a:path>
            </a:gradFill>
            <a:ln w="11430" cap="flat" cmpd="sng" algn="ctr">
              <a:solidFill>
                <a:sysClr val="window" lastClr="FFFFFF">
                  <a:lumMod val="75000"/>
                </a:sysClr>
              </a:solidFill>
              <a:prstDash val="dash"/>
              <a:miter lim="800000"/>
            </a:ln>
            <a:effectLst/>
          </xdr:spPr>
          <xdr:txBody>
            <a:bodyPr wrap="square" rtlCol="0" anchor="ctr"/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zh-CN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Arial"/>
                <a:ea typeface="OPPOSans R"/>
                <a:cs typeface="+mn-cs"/>
              </a:endParaRPr>
            </a:p>
          </xdr:txBody>
        </xdr:sp>
        <xdr:sp macro="" textlink="">
          <xdr:nvSpPr>
            <xdr:cNvPr id="4" name="椭圆 3">
              <a:extLst>
                <a:ext uri="{FF2B5EF4-FFF2-40B4-BE49-F238E27FC236}">
                  <a16:creationId xmlns:a16="http://schemas.microsoft.com/office/drawing/2014/main" id="{8FF9778F-5821-6F1B-9524-3C1FE041B4D6}"/>
                </a:ext>
              </a:extLst>
            </xdr:cNvPr>
            <xdr:cNvSpPr/>
          </xdr:nvSpPr>
          <xdr:spPr>
            <a:xfrm>
              <a:off x="4404352" y="970504"/>
              <a:ext cx="3118569" cy="3118008"/>
            </a:xfrm>
            <a:prstGeom prst="ellipse">
              <a:avLst/>
            </a:prstGeom>
            <a:gradFill flip="none" rotWithShape="1">
              <a:gsLst>
                <a:gs pos="72000">
                  <a:srgbClr val="0048BF">
                    <a:alpha val="10000"/>
                  </a:srgbClr>
                </a:gs>
                <a:gs pos="65000">
                  <a:srgbClr val="0048BF">
                    <a:alpha val="0"/>
                  </a:srgbClr>
                </a:gs>
              </a:gsLst>
              <a:path path="circle">
                <a:fillToRect l="50000" t="50000" r="50000" b="50000"/>
              </a:path>
              <a:tileRect/>
            </a:gradFill>
            <a:ln w="12700" cap="flat" cmpd="sng" algn="ctr">
              <a:noFill/>
              <a:prstDash val="solid"/>
              <a:miter lim="800000"/>
            </a:ln>
            <a:effectLst/>
          </xdr:spPr>
          <xdr:txBody>
            <a:bodyPr wrap="square" rtlCol="0" anchor="ctr"/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zh-CN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OPPOSans M"/>
                <a:ea typeface="OPPOSans M"/>
                <a:cs typeface="+mn-cs"/>
              </a:endParaRPr>
            </a:p>
          </xdr:txBody>
        </xdr:sp>
        <xdr:sp macro="" textlink="">
          <xdr:nvSpPr>
            <xdr:cNvPr id="5" name="椭圆 4">
              <a:extLst>
                <a:ext uri="{FF2B5EF4-FFF2-40B4-BE49-F238E27FC236}">
                  <a16:creationId xmlns:a16="http://schemas.microsoft.com/office/drawing/2014/main" id="{FCC93485-19E7-C4E8-3CA0-112C6B2CC625}"/>
                </a:ext>
              </a:extLst>
            </xdr:cNvPr>
            <xdr:cNvSpPr/>
          </xdr:nvSpPr>
          <xdr:spPr>
            <a:xfrm>
              <a:off x="5007975" y="1569862"/>
              <a:ext cx="1919528" cy="1919528"/>
            </a:xfrm>
            <a:prstGeom prst="ellipse">
              <a:avLst/>
            </a:prstGeom>
            <a:solidFill>
              <a:srgbClr val="0048BF">
                <a:alpha val="24000"/>
              </a:srgbClr>
            </a:solidFill>
            <a:ln w="12700" cap="flat" cmpd="sng" algn="ctr">
              <a:noFill/>
              <a:prstDash val="solid"/>
              <a:miter lim="800000"/>
            </a:ln>
            <a:effectLst/>
          </xdr:spPr>
          <xdr:txBody>
            <a:bodyPr wrap="square" rtlCol="0" anchor="ctr"/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zh-CN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OPPOSans M"/>
                <a:ea typeface="OPPOSans M"/>
                <a:cs typeface="+mn-cs"/>
              </a:endParaRPr>
            </a:p>
          </xdr:txBody>
        </xdr:sp>
        <xdr:sp macro="" textlink="">
          <xdr:nvSpPr>
            <xdr:cNvPr id="6" name="椭圆 5">
              <a:extLst>
                <a:ext uri="{FF2B5EF4-FFF2-40B4-BE49-F238E27FC236}">
                  <a16:creationId xmlns:a16="http://schemas.microsoft.com/office/drawing/2014/main" id="{5576EF82-9CEE-2826-9261-88D4E77F37F7}"/>
                </a:ext>
              </a:extLst>
            </xdr:cNvPr>
            <xdr:cNvSpPr/>
          </xdr:nvSpPr>
          <xdr:spPr>
            <a:xfrm>
              <a:off x="5221893" y="1783780"/>
              <a:ext cx="1491693" cy="1491693"/>
            </a:xfrm>
            <a:prstGeom prst="ellipse">
              <a:avLst/>
            </a:prstGeom>
            <a:gradFill flip="none" rotWithShape="1">
              <a:gsLst>
                <a:gs pos="0">
                  <a:srgbClr val="0048BF">
                    <a:lumMod val="48000"/>
                    <a:lumOff val="52000"/>
                  </a:srgbClr>
                </a:gs>
                <a:gs pos="100000">
                  <a:srgbClr val="0048BF">
                    <a:lumMod val="40000"/>
                    <a:lumOff val="60000"/>
                  </a:srgbClr>
                </a:gs>
                <a:gs pos="43000">
                  <a:srgbClr val="0048BF"/>
                </a:gs>
                <a:gs pos="77000">
                  <a:srgbClr val="0048BF">
                    <a:lumMod val="87000"/>
                    <a:lumOff val="13000"/>
                  </a:srgbClr>
                </a:gs>
              </a:gsLst>
              <a:path path="circle">
                <a:fillToRect r="100000" b="100000"/>
              </a:path>
              <a:tileRect l="-100000" t="-100000"/>
            </a:gradFill>
            <a:ln w="12700" cap="flat" cmpd="sng" algn="ctr">
              <a:noFill/>
              <a:prstDash val="solid"/>
              <a:miter lim="800000"/>
            </a:ln>
            <a:effectLst/>
          </xdr:spPr>
          <xdr:txBody>
            <a:bodyPr wrap="square" rtlCol="0" anchor="ctr"/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zh-CN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OPPOSans M"/>
                <a:ea typeface="OPPOSans M"/>
                <a:cs typeface="+mn-cs"/>
              </a:endParaRPr>
            </a:p>
          </xdr:txBody>
        </xdr:sp>
        <xdr:sp macro="" textlink="">
          <xdr:nvSpPr>
            <xdr:cNvPr id="7" name="弧形 6">
              <a:extLst>
                <a:ext uri="{FF2B5EF4-FFF2-40B4-BE49-F238E27FC236}">
                  <a16:creationId xmlns:a16="http://schemas.microsoft.com/office/drawing/2014/main" id="{BA072D9D-0EA3-D375-9FBF-6339F858D121}"/>
                </a:ext>
              </a:extLst>
            </xdr:cNvPr>
            <xdr:cNvSpPr/>
          </xdr:nvSpPr>
          <xdr:spPr>
            <a:xfrm>
              <a:off x="4546137" y="1112008"/>
              <a:ext cx="2835000" cy="2835000"/>
            </a:xfrm>
            <a:prstGeom prst="arc">
              <a:avLst>
                <a:gd name="adj1" fmla="val 14352133"/>
                <a:gd name="adj2" fmla="val 18233483"/>
              </a:avLst>
            </a:prstGeom>
            <a:noFill/>
            <a:ln w="53975" cap="rnd" cmpd="sng" algn="ctr">
              <a:gradFill flip="none" rotWithShape="1">
                <a:gsLst>
                  <a:gs pos="0">
                    <a:srgbClr val="0048BF">
                      <a:alpha val="99000"/>
                    </a:srgbClr>
                  </a:gs>
                  <a:gs pos="100000">
                    <a:srgbClr val="0048BF">
                      <a:alpha val="0"/>
                    </a:srgbClr>
                  </a:gs>
                </a:gsLst>
                <a:lin ang="10800000" scaled="1"/>
                <a:tileRect/>
              </a:gradFill>
              <a:prstDash val="solid"/>
              <a:miter lim="800000"/>
            </a:ln>
            <a:effectLst/>
          </xdr:spPr>
          <xdr:txBody>
            <a:bodyPr wrap="square" rtlCol="0" anchor="ctr"/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zh-CN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OPPOSans M"/>
                <a:ea typeface="OPPOSans M"/>
                <a:cs typeface="+mn-cs"/>
              </a:endParaRPr>
            </a:p>
          </xdr:txBody>
        </xdr:sp>
        <xdr:sp macro="" textlink="">
          <xdr:nvSpPr>
            <xdr:cNvPr id="8" name="弧形 7">
              <a:extLst>
                <a:ext uri="{FF2B5EF4-FFF2-40B4-BE49-F238E27FC236}">
                  <a16:creationId xmlns:a16="http://schemas.microsoft.com/office/drawing/2014/main" id="{2CCADEB3-24B3-A136-CB79-E9851F11C37B}"/>
                </a:ext>
              </a:extLst>
            </xdr:cNvPr>
            <xdr:cNvSpPr/>
          </xdr:nvSpPr>
          <xdr:spPr>
            <a:xfrm rot="5400000">
              <a:off x="4546137" y="1112008"/>
              <a:ext cx="2835000" cy="2835000"/>
            </a:xfrm>
            <a:prstGeom prst="arc">
              <a:avLst>
                <a:gd name="adj1" fmla="val 14302484"/>
                <a:gd name="adj2" fmla="val 18099840"/>
              </a:avLst>
            </a:prstGeom>
            <a:noFill/>
            <a:ln w="53975" cap="rnd" cmpd="sng" algn="ctr">
              <a:gradFill flip="none" rotWithShape="1">
                <a:gsLst>
                  <a:gs pos="0">
                    <a:srgbClr val="0563C1"/>
                  </a:gs>
                  <a:gs pos="100000">
                    <a:srgbClr val="0563C1">
                      <a:alpha val="0"/>
                    </a:srgbClr>
                  </a:gs>
                </a:gsLst>
                <a:lin ang="10800000" scaled="1"/>
                <a:tileRect/>
              </a:gradFill>
              <a:prstDash val="solid"/>
              <a:miter lim="800000"/>
            </a:ln>
            <a:effectLst/>
          </xdr:spPr>
          <xdr:txBody>
            <a:bodyPr wrap="square" rtlCol="0" anchor="ctr"/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zh-CN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OPPOSans M"/>
                <a:ea typeface="OPPOSans M"/>
                <a:cs typeface="+mn-cs"/>
              </a:endParaRPr>
            </a:p>
          </xdr:txBody>
        </xdr:sp>
        <xdr:sp macro="" textlink="">
          <xdr:nvSpPr>
            <xdr:cNvPr id="9" name="弧形 8">
              <a:extLst>
                <a:ext uri="{FF2B5EF4-FFF2-40B4-BE49-F238E27FC236}">
                  <a16:creationId xmlns:a16="http://schemas.microsoft.com/office/drawing/2014/main" id="{658A124D-37FF-583C-BE2E-4E16883E04B4}"/>
                </a:ext>
              </a:extLst>
            </xdr:cNvPr>
            <xdr:cNvSpPr/>
          </xdr:nvSpPr>
          <xdr:spPr>
            <a:xfrm rot="10800000">
              <a:off x="4546137" y="1112008"/>
              <a:ext cx="2835000" cy="2835000"/>
            </a:xfrm>
            <a:prstGeom prst="arc">
              <a:avLst>
                <a:gd name="adj1" fmla="val 14302484"/>
                <a:gd name="adj2" fmla="val 18189874"/>
              </a:avLst>
            </a:prstGeom>
            <a:noFill/>
            <a:ln w="53975" cap="rnd" cmpd="sng" algn="ctr">
              <a:gradFill flip="none" rotWithShape="1">
                <a:gsLst>
                  <a:gs pos="0">
                    <a:srgbClr val="0048BF">
                      <a:alpha val="99000"/>
                    </a:srgbClr>
                  </a:gs>
                  <a:gs pos="100000">
                    <a:srgbClr val="0048BF">
                      <a:alpha val="0"/>
                    </a:srgbClr>
                  </a:gs>
                </a:gsLst>
                <a:lin ang="10800000" scaled="1"/>
                <a:tileRect/>
              </a:gradFill>
              <a:prstDash val="solid"/>
              <a:miter lim="800000"/>
            </a:ln>
            <a:effectLst/>
          </xdr:spPr>
          <xdr:txBody>
            <a:bodyPr wrap="square" rtlCol="0" anchor="ctr"/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zh-CN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OPPOSans M"/>
                <a:ea typeface="OPPOSans M"/>
                <a:cs typeface="+mn-cs"/>
              </a:endParaRPr>
            </a:p>
          </xdr:txBody>
        </xdr:sp>
        <xdr:sp macro="" textlink="">
          <xdr:nvSpPr>
            <xdr:cNvPr id="10" name="弧形 9">
              <a:extLst>
                <a:ext uri="{FF2B5EF4-FFF2-40B4-BE49-F238E27FC236}">
                  <a16:creationId xmlns:a16="http://schemas.microsoft.com/office/drawing/2014/main" id="{2BAA32C6-56AE-6727-D7DC-420918D91A17}"/>
                </a:ext>
              </a:extLst>
            </xdr:cNvPr>
            <xdr:cNvSpPr/>
          </xdr:nvSpPr>
          <xdr:spPr>
            <a:xfrm rot="16200000">
              <a:off x="4546137" y="1112009"/>
              <a:ext cx="2835000" cy="2835000"/>
            </a:xfrm>
            <a:prstGeom prst="arc">
              <a:avLst>
                <a:gd name="adj1" fmla="val 14302484"/>
                <a:gd name="adj2" fmla="val 18189874"/>
              </a:avLst>
            </a:prstGeom>
            <a:noFill/>
            <a:ln w="53975" cap="rnd" cmpd="sng" algn="ctr">
              <a:gradFill flip="none" rotWithShape="1">
                <a:gsLst>
                  <a:gs pos="0">
                    <a:srgbClr val="0563C1"/>
                  </a:gs>
                  <a:gs pos="100000">
                    <a:srgbClr val="0563C1">
                      <a:alpha val="0"/>
                    </a:srgbClr>
                  </a:gs>
                </a:gsLst>
                <a:lin ang="10800000" scaled="1"/>
                <a:tileRect/>
              </a:gradFill>
              <a:prstDash val="solid"/>
              <a:miter lim="800000"/>
            </a:ln>
            <a:effectLst/>
          </xdr:spPr>
          <xdr:txBody>
            <a:bodyPr wrap="square" rtlCol="0" anchor="ctr"/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zh-CN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OPPOSans M"/>
                <a:ea typeface="OPPOSans M"/>
                <a:cs typeface="+mn-cs"/>
              </a:endParaRPr>
            </a:p>
          </xdr:txBody>
        </xdr:sp>
        <xdr:sp macro="" textlink="">
          <xdr:nvSpPr>
            <xdr:cNvPr id="11" name="椭圆 10">
              <a:extLst>
                <a:ext uri="{FF2B5EF4-FFF2-40B4-BE49-F238E27FC236}">
                  <a16:creationId xmlns:a16="http://schemas.microsoft.com/office/drawing/2014/main" id="{2F7E6859-A1BF-0A31-D522-A0F842876F8A}"/>
                </a:ext>
              </a:extLst>
            </xdr:cNvPr>
            <xdr:cNvSpPr/>
          </xdr:nvSpPr>
          <xdr:spPr>
            <a:xfrm>
              <a:off x="6826510" y="1172896"/>
              <a:ext cx="523268" cy="523268"/>
            </a:xfrm>
            <a:prstGeom prst="ellipse">
              <a:avLst/>
            </a:prstGeom>
            <a:solidFill>
              <a:srgbClr val="0048BF"/>
            </a:solidFill>
            <a:ln w="12700" cap="flat" cmpd="sng" algn="ctr">
              <a:noFill/>
              <a:prstDash val="solid"/>
              <a:miter lim="800000"/>
            </a:ln>
            <a:effectLst>
              <a:outerShdw blurRad="266700" dist="76200" dir="5400000" sx="97000" sy="97000" algn="t" rotWithShape="0">
                <a:srgbClr val="0048BF">
                  <a:lumMod val="75000"/>
                  <a:alpha val="30000"/>
                </a:srgbClr>
              </a:outerShdw>
            </a:effectLst>
          </xdr:spPr>
          <xdr:txBody>
            <a:bodyPr wrap="square" rtlCol="0" anchor="ctr"/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zh-CN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OPPOSans M"/>
                <a:ea typeface="OPPOSans M"/>
                <a:cs typeface="+mn-cs"/>
              </a:endParaRPr>
            </a:p>
          </xdr:txBody>
        </xdr:sp>
        <xdr:sp macro="" textlink="">
          <xdr:nvSpPr>
            <xdr:cNvPr id="12" name="椭圆 11">
              <a:extLst>
                <a:ext uri="{FF2B5EF4-FFF2-40B4-BE49-F238E27FC236}">
                  <a16:creationId xmlns:a16="http://schemas.microsoft.com/office/drawing/2014/main" id="{D5BC5746-C716-B24C-9076-343C3102FB82}"/>
                </a:ext>
              </a:extLst>
            </xdr:cNvPr>
            <xdr:cNvSpPr/>
          </xdr:nvSpPr>
          <xdr:spPr>
            <a:xfrm>
              <a:off x="4602050" y="3348864"/>
              <a:ext cx="523268" cy="523268"/>
            </a:xfrm>
            <a:prstGeom prst="ellipse">
              <a:avLst/>
            </a:prstGeom>
            <a:solidFill>
              <a:srgbClr val="0048BF"/>
            </a:solidFill>
            <a:ln w="12700" cap="flat" cmpd="sng" algn="ctr">
              <a:noFill/>
              <a:prstDash val="solid"/>
              <a:miter lim="800000"/>
            </a:ln>
            <a:effectLst>
              <a:outerShdw blurRad="266700" dist="76200" dir="5400000" sx="97000" sy="97000" algn="t" rotWithShape="0">
                <a:srgbClr val="0048BF">
                  <a:alpha val="30000"/>
                </a:srgbClr>
              </a:outerShdw>
            </a:effectLst>
          </xdr:spPr>
          <xdr:txBody>
            <a:bodyPr wrap="square" rtlCol="0" anchor="ctr"/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zh-CN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OPPOSans M"/>
                <a:ea typeface="OPPOSans M"/>
                <a:cs typeface="+mn-cs"/>
              </a:endParaRPr>
            </a:p>
          </xdr:txBody>
        </xdr:sp>
        <xdr:sp macro="" textlink="">
          <xdr:nvSpPr>
            <xdr:cNvPr id="13" name="椭圆 12">
              <a:extLst>
                <a:ext uri="{FF2B5EF4-FFF2-40B4-BE49-F238E27FC236}">
                  <a16:creationId xmlns:a16="http://schemas.microsoft.com/office/drawing/2014/main" id="{669E39A6-6938-31FA-7115-6B449BB04F13}"/>
                </a:ext>
              </a:extLst>
            </xdr:cNvPr>
            <xdr:cNvSpPr/>
          </xdr:nvSpPr>
          <xdr:spPr>
            <a:xfrm>
              <a:off x="4602050" y="1172896"/>
              <a:ext cx="523268" cy="523268"/>
            </a:xfrm>
            <a:prstGeom prst="ellipse">
              <a:avLst/>
            </a:prstGeom>
            <a:solidFill>
              <a:srgbClr val="0563C1"/>
            </a:solidFill>
            <a:ln w="12700" cap="flat" cmpd="sng" algn="ctr">
              <a:noFill/>
              <a:prstDash val="solid"/>
              <a:miter lim="800000"/>
            </a:ln>
            <a:effectLst>
              <a:outerShdw blurRad="266700" dist="76200" dir="5400000" sx="97000" sy="97000" algn="t" rotWithShape="0">
                <a:srgbClr val="0563C1">
                  <a:alpha val="30000"/>
                </a:srgbClr>
              </a:outerShdw>
            </a:effectLst>
          </xdr:spPr>
          <xdr:txBody>
            <a:bodyPr wrap="square" rtlCol="0" anchor="ctr"/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zh-CN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OPPOSans M"/>
                <a:ea typeface="OPPOSans M"/>
                <a:cs typeface="+mn-cs"/>
              </a:endParaRPr>
            </a:p>
          </xdr:txBody>
        </xdr:sp>
        <xdr:sp macro="" textlink="">
          <xdr:nvSpPr>
            <xdr:cNvPr id="14" name="椭圆 13">
              <a:extLst>
                <a:ext uri="{FF2B5EF4-FFF2-40B4-BE49-F238E27FC236}">
                  <a16:creationId xmlns:a16="http://schemas.microsoft.com/office/drawing/2014/main" id="{16726BFD-2418-2EC0-DC04-A5A0DF910DF5}"/>
                </a:ext>
              </a:extLst>
            </xdr:cNvPr>
            <xdr:cNvSpPr/>
          </xdr:nvSpPr>
          <xdr:spPr>
            <a:xfrm>
              <a:off x="6826510" y="3348864"/>
              <a:ext cx="523268" cy="523268"/>
            </a:xfrm>
            <a:prstGeom prst="ellipse">
              <a:avLst/>
            </a:prstGeom>
            <a:solidFill>
              <a:srgbClr val="0563C1"/>
            </a:solidFill>
            <a:ln w="12700" cap="flat" cmpd="sng" algn="ctr">
              <a:noFill/>
              <a:prstDash val="solid"/>
              <a:miter lim="800000"/>
            </a:ln>
            <a:effectLst>
              <a:outerShdw blurRad="266700" dist="76200" dir="5400000" sx="97000" sy="97000" algn="t" rotWithShape="0">
                <a:srgbClr val="0563C1">
                  <a:alpha val="30000"/>
                </a:srgbClr>
              </a:outerShdw>
            </a:effectLst>
          </xdr:spPr>
          <xdr:txBody>
            <a:bodyPr wrap="square" rtlCol="0" anchor="ctr"/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zh-CN" altLang="en-US" sz="1800" b="0" i="0" u="none" strike="noStrike" kern="1200" cap="none" spc="0" normalizeH="0" baseline="0">
                <a:ln>
                  <a:noFill/>
                </a:ln>
                <a:solidFill>
                  <a:prstClr val="white"/>
                </a:solidFill>
                <a:effectLst/>
                <a:uLnTx/>
                <a:uFillTx/>
                <a:latin typeface="OPPOSans M"/>
                <a:ea typeface="OPPOSans M"/>
                <a:cs typeface="+mn-cs"/>
              </a:endParaRPr>
            </a:p>
          </xdr:txBody>
        </xdr:sp>
        <xdr:pic>
          <xdr:nvPicPr>
            <xdr:cNvPr id="15" name="图形 89">
              <a:extLst>
                <a:ext uri="{FF2B5EF4-FFF2-40B4-BE49-F238E27FC236}">
                  <a16:creationId xmlns:a16="http://schemas.microsoft.com/office/drawing/2014/main" id="{A6B1159A-B5AB-36F0-9FF8-A5A5CD989FDA}"/>
                </a:ext>
              </a:extLst>
            </xdr:cNvPr>
            <xdr:cNvPicPr>
              <a:picLocks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lc="http://schemas.openxmlformats.org/drawingml/2006/lockedCanvas" xmlns:asvg="http://schemas.microsoft.com/office/drawing/2016/SVG/main" xmlns="" xmlns:p="http://schemas.openxmlformats.org/presentationml/2006/main" r:embed="rId4"/>
                </a:ext>
              </a:extLst>
            </a:blip>
            <a:stretch>
              <a:fillRect/>
            </a:stretch>
          </xdr:blipFill>
          <xdr:spPr>
            <a:xfrm>
              <a:off x="6941986" y="1299198"/>
              <a:ext cx="292316" cy="270665"/>
            </a:xfrm>
            <a:prstGeom prst="rect">
              <a:avLst/>
            </a:prstGeom>
          </xdr:spPr>
        </xdr:pic>
        <xdr:pic>
          <xdr:nvPicPr>
            <xdr:cNvPr id="16" name="图形 87">
              <a:extLst>
                <a:ext uri="{FF2B5EF4-FFF2-40B4-BE49-F238E27FC236}">
                  <a16:creationId xmlns:a16="http://schemas.microsoft.com/office/drawing/2014/main" id="{CA7E8248-F6DF-D98C-D3B4-F00BDCEE4F04}"/>
                </a:ext>
              </a:extLst>
            </xdr:cNvPr>
            <xdr:cNvPicPr>
              <a:picLocks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lc="http://schemas.openxmlformats.org/drawingml/2006/lockedCanvas" xmlns:asvg="http://schemas.microsoft.com/office/drawing/2016/SVG/main" xmlns="" xmlns:p="http://schemas.openxmlformats.org/presentationml/2006/main" r:embed="rId6"/>
                </a:ext>
              </a:extLst>
            </a:blip>
            <a:stretch>
              <a:fillRect/>
            </a:stretch>
          </xdr:blipFill>
          <xdr:spPr>
            <a:xfrm>
              <a:off x="4711649" y="3467556"/>
              <a:ext cx="304070" cy="304034"/>
            </a:xfrm>
            <a:prstGeom prst="rect">
              <a:avLst/>
            </a:prstGeom>
          </xdr:spPr>
        </xdr:pic>
        <xdr:pic>
          <xdr:nvPicPr>
            <xdr:cNvPr id="17" name="图形 85">
              <a:extLst>
                <a:ext uri="{FF2B5EF4-FFF2-40B4-BE49-F238E27FC236}">
                  <a16:creationId xmlns:a16="http://schemas.microsoft.com/office/drawing/2014/main" id="{6E188249-482C-0304-D0E0-F0AD9E5108C1}"/>
                </a:ext>
              </a:extLst>
            </xdr:cNvPr>
            <xdr:cNvPicPr>
              <a:picLocks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lc="http://schemas.openxmlformats.org/drawingml/2006/lockedCanvas" xmlns:asvg="http://schemas.microsoft.com/office/drawing/2016/SVG/main" xmlns="" xmlns:p="http://schemas.openxmlformats.org/presentationml/2006/main" r:embed="rId8"/>
                </a:ext>
              </a:extLst>
            </a:blip>
            <a:stretch>
              <a:fillRect/>
            </a:stretch>
          </xdr:blipFill>
          <xdr:spPr>
            <a:xfrm>
              <a:off x="4696465" y="1267311"/>
              <a:ext cx="334439" cy="334439"/>
            </a:xfrm>
            <a:prstGeom prst="rect">
              <a:avLst/>
            </a:prstGeom>
          </xdr:spPr>
        </xdr:pic>
        <xdr:pic>
          <xdr:nvPicPr>
            <xdr:cNvPr id="18" name="图形 29">
              <a:extLst>
                <a:ext uri="{FF2B5EF4-FFF2-40B4-BE49-F238E27FC236}">
                  <a16:creationId xmlns:a16="http://schemas.microsoft.com/office/drawing/2014/main" id="{8A147B9D-8A0E-F3C0-FB53-B95D6D000C19}"/>
                </a:ext>
              </a:extLst>
            </xdr:cNvPr>
            <xdr:cNvPicPr>
              <a:picLocks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lc="http://schemas.openxmlformats.org/drawingml/2006/lockedCanvas" xmlns:asvg="http://schemas.microsoft.com/office/drawing/2016/SVG/main" xmlns="" xmlns:p="http://schemas.openxmlformats.org/presentationml/2006/main" r:embed="rId10"/>
                </a:ext>
              </a:extLst>
            </a:blip>
            <a:stretch>
              <a:fillRect/>
            </a:stretch>
          </xdr:blipFill>
          <xdr:spPr>
            <a:xfrm>
              <a:off x="5661575" y="2058193"/>
              <a:ext cx="602357" cy="612362"/>
            </a:xfrm>
            <a:prstGeom prst="rect">
              <a:avLst/>
            </a:prstGeom>
          </xdr:spPr>
        </xdr:pic>
        <xdr:sp macro="" textlink="">
          <xdr:nvSpPr>
            <xdr:cNvPr id="19" name="文本框 105">
              <a:extLst>
                <a:ext uri="{FF2B5EF4-FFF2-40B4-BE49-F238E27FC236}">
                  <a16:creationId xmlns:a16="http://schemas.microsoft.com/office/drawing/2014/main" id="{29DDD173-FB8E-C5E7-05EF-1F33935FAFB1}"/>
                </a:ext>
              </a:extLst>
            </xdr:cNvPr>
            <xdr:cNvSpPr txBox="1"/>
          </xdr:nvSpPr>
          <xdr:spPr>
            <a:xfrm>
              <a:off x="3358553" y="989422"/>
              <a:ext cx="1305165" cy="478593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algn="ctr" hangingPunct="1">
                <a:lnSpc>
                  <a:spcPct val="130000"/>
                </a:lnSpc>
                <a:defRPr/>
              </a:pPr>
              <a:r>
                <a:rPr lang="zh-CN" altLang="en-US" b="1" kern="1200">
                  <a:solidFill>
                    <a:srgbClr val="0563C1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信息技术 </a:t>
              </a:r>
              <a:r>
                <a:rPr lang="en-US" altLang="zh-CN" b="1" kern="1200">
                  <a:solidFill>
                    <a:srgbClr val="0563C1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54%</a:t>
              </a:r>
              <a:endParaRPr lang="zh-CN" altLang="en-US" b="1" kern="1200">
                <a:solidFill>
                  <a:srgbClr val="0563C1"/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</xdr:txBody>
        </xdr:sp>
        <xdr:sp macro="" textlink="">
          <xdr:nvSpPr>
            <xdr:cNvPr id="21" name="文本框 107">
              <a:extLst>
                <a:ext uri="{FF2B5EF4-FFF2-40B4-BE49-F238E27FC236}">
                  <a16:creationId xmlns:a16="http://schemas.microsoft.com/office/drawing/2014/main" id="{9E45F484-8135-2BD2-B0E9-635EE84CEA31}"/>
                </a:ext>
              </a:extLst>
            </xdr:cNvPr>
            <xdr:cNvSpPr txBox="1"/>
          </xdr:nvSpPr>
          <xdr:spPr>
            <a:xfrm>
              <a:off x="7417320" y="1004276"/>
              <a:ext cx="1132041" cy="478593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algn="ctr" hangingPunct="1">
                <a:lnSpc>
                  <a:spcPct val="130000"/>
                </a:lnSpc>
                <a:defRPr/>
              </a:pPr>
              <a:r>
                <a:rPr lang="zh-CN" altLang="en-US" b="1" kern="1200">
                  <a:solidFill>
                    <a:srgbClr val="0048BF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新能源 </a:t>
              </a:r>
              <a:r>
                <a:rPr lang="en-US" altLang="zh-CN" b="1" kern="1200">
                  <a:solidFill>
                    <a:srgbClr val="0048BF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31%</a:t>
              </a:r>
              <a:endParaRPr lang="zh-CN" altLang="en-US" b="1" kern="1200">
                <a:solidFill>
                  <a:srgbClr val="0048BF"/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</xdr:txBody>
        </xdr:sp>
        <xdr:sp macro="" textlink="">
          <xdr:nvSpPr>
            <xdr:cNvPr id="22" name="文本框 108">
              <a:extLst>
                <a:ext uri="{FF2B5EF4-FFF2-40B4-BE49-F238E27FC236}">
                  <a16:creationId xmlns:a16="http://schemas.microsoft.com/office/drawing/2014/main" id="{88E7F08C-2B5D-9843-46B6-11B36DDE45C6}"/>
                </a:ext>
              </a:extLst>
            </xdr:cNvPr>
            <xdr:cNvSpPr txBox="1"/>
          </xdr:nvSpPr>
          <xdr:spPr>
            <a:xfrm>
              <a:off x="7527801" y="3275473"/>
              <a:ext cx="851516" cy="478593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algn="ctr" hangingPunct="1">
                <a:lnSpc>
                  <a:spcPct val="130000"/>
                </a:lnSpc>
                <a:defRPr/>
              </a:pPr>
              <a:r>
                <a:rPr lang="zh-CN" altLang="en-US" b="1" kern="1200">
                  <a:solidFill>
                    <a:srgbClr val="0563C1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医药 </a:t>
              </a:r>
              <a:r>
                <a:rPr lang="en-US" altLang="zh-CN" b="1" kern="1200">
                  <a:solidFill>
                    <a:srgbClr val="0563C1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6%</a:t>
              </a:r>
              <a:endParaRPr lang="zh-CN" altLang="en-US" b="1" kern="1200">
                <a:solidFill>
                  <a:srgbClr val="0563C1"/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</xdr:txBody>
        </xdr:sp>
        <xdr:sp macro="" textlink="">
          <xdr:nvSpPr>
            <xdr:cNvPr id="23" name="文本框 109">
              <a:extLst>
                <a:ext uri="{FF2B5EF4-FFF2-40B4-BE49-F238E27FC236}">
                  <a16:creationId xmlns:a16="http://schemas.microsoft.com/office/drawing/2014/main" id="{98352FDE-834C-BF14-206F-0D1A6B8B3602}"/>
                </a:ext>
              </a:extLst>
            </xdr:cNvPr>
            <xdr:cNvSpPr txBox="1"/>
          </xdr:nvSpPr>
          <xdr:spPr>
            <a:xfrm>
              <a:off x="3334350" y="3271445"/>
              <a:ext cx="1305165" cy="478593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algn="ctr" hangingPunct="1">
                <a:lnSpc>
                  <a:spcPct val="130000"/>
                </a:lnSpc>
                <a:defRPr/>
              </a:pPr>
              <a:r>
                <a:rPr lang="zh-CN" altLang="en-US" b="1" kern="1200">
                  <a:solidFill>
                    <a:srgbClr val="0048BF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金融科技 </a:t>
              </a:r>
              <a:r>
                <a:rPr lang="en-US" altLang="zh-CN" b="1" kern="1200">
                  <a:solidFill>
                    <a:srgbClr val="0048BF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9%</a:t>
              </a:r>
              <a:endParaRPr lang="zh-CN" altLang="en-US" b="1" kern="1200">
                <a:solidFill>
                  <a:srgbClr val="0048BF"/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</xdr:txBody>
        </xdr:sp>
        <xdr:sp macro="" textlink="">
          <xdr:nvSpPr>
            <xdr:cNvPr id="24" name="文本框 110">
              <a:extLst>
                <a:ext uri="{FF2B5EF4-FFF2-40B4-BE49-F238E27FC236}">
                  <a16:creationId xmlns:a16="http://schemas.microsoft.com/office/drawing/2014/main" id="{2304EFD6-FF4A-7B2C-FC83-8CBDC051ED12}"/>
                </a:ext>
              </a:extLst>
            </xdr:cNvPr>
            <xdr:cNvSpPr txBox="1"/>
          </xdr:nvSpPr>
          <xdr:spPr>
            <a:xfrm>
              <a:off x="5495991" y="2694615"/>
              <a:ext cx="954107" cy="360676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algn="ctr" hangingPunct="1">
                <a:lnSpc>
                  <a:spcPct val="130000"/>
                </a:lnSpc>
                <a:defRPr/>
              </a:pPr>
              <a:r>
                <a:rPr lang="zh-CN" altLang="en-US" sz="1500" b="1" kern="1200">
                  <a:solidFill>
                    <a:prstClr val="white"/>
                  </a:solidFill>
                  <a:latin typeface="OPPOSans M"/>
                  <a:ea typeface="OPPOSans M"/>
                </a:rPr>
                <a:t>四大赛道</a:t>
              </a:r>
            </a:p>
          </xdr:txBody>
        </xdr:sp>
        <xdr:sp macro="" textlink="">
          <xdr:nvSpPr>
            <xdr:cNvPr id="25" name="文本框 111">
              <a:extLst>
                <a:ext uri="{FF2B5EF4-FFF2-40B4-BE49-F238E27FC236}">
                  <a16:creationId xmlns:a16="http://schemas.microsoft.com/office/drawing/2014/main" id="{D0A5B566-4F7F-CA8F-2C7B-80EC562762F8}"/>
                </a:ext>
              </a:extLst>
            </xdr:cNvPr>
            <xdr:cNvSpPr txBox="1"/>
          </xdr:nvSpPr>
          <xdr:spPr>
            <a:xfrm>
              <a:off x="3399296" y="3668980"/>
              <a:ext cx="1319093" cy="477054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marL="171450" indent="-171450" hangingPunct="1">
                <a:buFont typeface="Arial" panose="020B0604020202020204" pitchFamily="34" charset="0"/>
                <a:buChar char="•"/>
              </a:pPr>
              <a:r>
                <a:rPr lang="zh-CN" altLang="en-US" sz="1050" kern="1200">
                  <a:solidFill>
                    <a:srgbClr val="374151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互联网券商龙头</a:t>
              </a:r>
              <a:endParaRPr lang="en-US" altLang="zh-CN" sz="1050" kern="1200">
                <a:solidFill>
                  <a:srgbClr val="374151"/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  <a:p>
              <a:pPr marL="171450" indent="-171450" hangingPunct="1">
                <a:buFont typeface="Arial" panose="020B0604020202020204" pitchFamily="34" charset="0"/>
                <a:buChar char="•"/>
              </a:pPr>
              <a:r>
                <a:rPr lang="zh-CN" altLang="en-US" sz="1050" kern="1200">
                  <a:solidFill>
                    <a:srgbClr val="374151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金融</a:t>
              </a:r>
              <a:r>
                <a:rPr lang="en-US" altLang="zh-CN" sz="1050" kern="1200">
                  <a:solidFill>
                    <a:srgbClr val="374151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IT</a:t>
              </a:r>
              <a:endParaRPr lang="en-US" altLang="zh-CN" sz="1050" kern="1200">
                <a:solidFill>
                  <a:prstClr val="black">
                    <a:lumMod val="75000"/>
                    <a:lumOff val="25000"/>
                  </a:prstClr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</xdr:txBody>
        </xdr:sp>
        <xdr:sp macro="" textlink="">
          <xdr:nvSpPr>
            <xdr:cNvPr id="26" name="文本框 112">
              <a:extLst>
                <a:ext uri="{FF2B5EF4-FFF2-40B4-BE49-F238E27FC236}">
                  <a16:creationId xmlns:a16="http://schemas.microsoft.com/office/drawing/2014/main" id="{A4DEB55D-9BD3-C042-DE8C-94769BE9179B}"/>
                </a:ext>
              </a:extLst>
            </xdr:cNvPr>
            <xdr:cNvSpPr txBox="1"/>
          </xdr:nvSpPr>
          <xdr:spPr>
            <a:xfrm>
              <a:off x="7543053" y="1312488"/>
              <a:ext cx="971021" cy="1247777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marL="171450" indent="-171450" hangingPunct="1">
                <a:buFont typeface="Arial" panose="020B0604020202020204" pitchFamily="34" charset="0"/>
                <a:buChar char="•"/>
              </a:pPr>
              <a:r>
                <a:rPr lang="zh-CN" altLang="en-US" sz="1050" kern="1200">
                  <a:solidFill>
                    <a:prstClr val="black">
                      <a:lumMod val="75000"/>
                      <a:lumOff val="25000"/>
                    </a:prst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动力电池</a:t>
              </a:r>
              <a:endParaRPr lang="en-US" altLang="zh-CN" sz="1050" kern="1200">
                <a:solidFill>
                  <a:prstClr val="black">
                    <a:lumMod val="75000"/>
                    <a:lumOff val="25000"/>
                  </a:prstClr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  <a:p>
              <a:pPr marL="171450" indent="-171450" hangingPunct="1">
                <a:buFont typeface="Arial" panose="020B0604020202020204" pitchFamily="34" charset="0"/>
                <a:buChar char="•"/>
              </a:pPr>
              <a:r>
                <a:rPr lang="zh-CN" altLang="en-US" sz="1050" kern="1200">
                  <a:solidFill>
                    <a:prstClr val="black">
                      <a:lumMod val="75000"/>
                      <a:lumOff val="25000"/>
                    </a:prst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固态电池</a:t>
              </a:r>
              <a:endParaRPr lang="en-US" altLang="zh-CN" sz="1050" kern="1200">
                <a:solidFill>
                  <a:prstClr val="black">
                    <a:lumMod val="75000"/>
                    <a:lumOff val="25000"/>
                  </a:prstClr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  <a:p>
              <a:pPr marL="171450" indent="-171450" hangingPunct="1">
                <a:buFont typeface="Arial" panose="020B0604020202020204" pitchFamily="34" charset="0"/>
                <a:buChar char="•"/>
              </a:pPr>
              <a:r>
                <a:rPr lang="zh-CN" altLang="en-US" sz="1050" kern="1200">
                  <a:solidFill>
                    <a:prstClr val="black">
                      <a:lumMod val="75000"/>
                      <a:lumOff val="25000"/>
                    </a:prst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锂电设备</a:t>
              </a:r>
              <a:endParaRPr lang="en-US" altLang="zh-CN" sz="1050" kern="1200">
                <a:solidFill>
                  <a:prstClr val="black">
                    <a:lumMod val="75000"/>
                    <a:lumOff val="25000"/>
                  </a:prstClr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  <a:p>
              <a:pPr marL="171450" indent="-171450" hangingPunct="1">
                <a:buFont typeface="Arial" panose="020B0604020202020204" pitchFamily="34" charset="0"/>
                <a:buChar char="•"/>
              </a:pPr>
              <a:r>
                <a:rPr lang="zh-CN" altLang="en-US" sz="1050" kern="1200">
                  <a:solidFill>
                    <a:prstClr val="black">
                      <a:lumMod val="75000"/>
                      <a:lumOff val="25000"/>
                    </a:prst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新能源车</a:t>
              </a:r>
              <a:endParaRPr lang="en-US" altLang="zh-CN" sz="1050" kern="1200">
                <a:solidFill>
                  <a:prstClr val="black">
                    <a:lumMod val="75000"/>
                    <a:lumOff val="25000"/>
                  </a:prstClr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  <a:p>
              <a:pPr marL="171450" indent="-171450" hangingPunct="1">
                <a:buFont typeface="Arial" panose="020B0604020202020204" pitchFamily="34" charset="0"/>
                <a:buChar char="•"/>
              </a:pPr>
              <a:r>
                <a:rPr lang="zh-CN" altLang="en-US" sz="1050" kern="1200">
                  <a:solidFill>
                    <a:prstClr val="black">
                      <a:lumMod val="75000"/>
                      <a:lumOff val="25000"/>
                    </a:prstClr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光伏</a:t>
              </a:r>
              <a:endParaRPr lang="en-US" altLang="zh-CN" sz="1050" kern="1200">
                <a:solidFill>
                  <a:prstClr val="black">
                    <a:lumMod val="75000"/>
                    <a:lumOff val="25000"/>
                  </a:prstClr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</xdr:txBody>
        </xdr:sp>
        <xdr:sp macro="" textlink="">
          <xdr:nvSpPr>
            <xdr:cNvPr id="27" name="文本框 113">
              <a:extLst>
                <a:ext uri="{FF2B5EF4-FFF2-40B4-BE49-F238E27FC236}">
                  <a16:creationId xmlns:a16="http://schemas.microsoft.com/office/drawing/2014/main" id="{BEA661BB-ECBE-37C9-14B0-718857A51041}"/>
                </a:ext>
              </a:extLst>
            </xdr:cNvPr>
            <xdr:cNvSpPr txBox="1"/>
          </xdr:nvSpPr>
          <xdr:spPr>
            <a:xfrm>
              <a:off x="7561808" y="3610498"/>
              <a:ext cx="935899" cy="679866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 marL="0" marR="0" indent="0" algn="l" defTabSz="685800" rtl="0" fontAlgn="auto" latinLnBrk="1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</a:defRPr>
              </a:defPPr>
              <a:lvl1pPr marL="0" marR="0" indent="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1pPr>
              <a:lvl2pPr marL="0" marR="0" indent="3429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2pPr>
              <a:lvl3pPr marL="0" marR="0" indent="6858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3pPr>
              <a:lvl4pPr marL="0" marR="0" indent="10287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4pPr>
              <a:lvl5pPr marL="0" marR="0" indent="13716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5pPr>
              <a:lvl6pPr marL="0" marR="0" indent="17145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6pPr>
              <a:lvl7pPr marL="0" marR="0" indent="20574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7pPr>
              <a:lvl8pPr marL="0" marR="0" indent="24003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8pPr>
              <a:lvl9pPr marL="0" marR="0" indent="2743200" algn="l" defTabSz="685800" rtl="0" fontAlgn="auto" latinLnBrk="0" hangingPunct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kumimoji="0" sz="1350" b="0" i="0" u="none" strike="noStrike" cap="none" spc="0" normalizeH="0" baseline="0">
                  <a:ln>
                    <a:noFill/>
                  </a:ln>
                  <a:solidFill>
                    <a:srgbClr val="000000"/>
                  </a:solidFill>
                  <a:effectLst/>
                  <a:uFillTx/>
                  <a:latin typeface="+mn-lt"/>
                  <a:ea typeface="+mn-ea"/>
                  <a:cs typeface="+mn-cs"/>
                  <a:sym typeface="Microsoft Sans Serif" panose="020B0604020202020204"/>
                </a:defRPr>
              </a:lvl9pPr>
            </a:lstStyle>
            <a:p>
              <a:pPr marL="171450" indent="-171450" hangingPunct="1">
                <a:buFont typeface="Arial" panose="020B0604020202020204" pitchFamily="34" charset="0"/>
                <a:buChar char="•"/>
              </a:pPr>
              <a:r>
                <a:rPr lang="zh-CN" altLang="en-US" sz="1050" kern="1200">
                  <a:solidFill>
                    <a:srgbClr val="374151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创新药</a:t>
              </a:r>
              <a:endParaRPr lang="en-US" altLang="zh-CN" sz="1050" kern="1200">
                <a:solidFill>
                  <a:srgbClr val="374151"/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  <a:p>
              <a:pPr marL="171450" indent="-171450" hangingPunct="1">
                <a:buFont typeface="Arial" panose="020B0604020202020204" pitchFamily="34" charset="0"/>
                <a:buChar char="•"/>
              </a:pPr>
              <a:r>
                <a:rPr lang="zh-CN" altLang="en-US" sz="1050" kern="1200">
                  <a:solidFill>
                    <a:srgbClr val="374151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医疗器械</a:t>
              </a:r>
              <a:endParaRPr lang="en-US" altLang="zh-CN" sz="1050" kern="1200">
                <a:solidFill>
                  <a:srgbClr val="374151"/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  <a:p>
              <a:pPr marL="171450" indent="-171450" hangingPunct="1">
                <a:buFont typeface="Arial" panose="020B0604020202020204" pitchFamily="34" charset="0"/>
                <a:buChar char="•"/>
              </a:pPr>
              <a:r>
                <a:rPr lang="en-US" altLang="zh-CN" sz="1050" kern="1200">
                  <a:solidFill>
                    <a:srgbClr val="374151"/>
                  </a:solidFill>
                  <a:latin typeface="微软雅黑" panose="020B0503020204020204" pitchFamily="34" charset="-122"/>
                  <a:ea typeface="微软雅黑" panose="020B0503020204020204" pitchFamily="34" charset="-122"/>
                </a:rPr>
                <a:t>CXO</a:t>
              </a:r>
              <a:endParaRPr lang="en-US" altLang="zh-CN" sz="1050" kern="1200">
                <a:solidFill>
                  <a:prstClr val="black">
                    <a:lumMod val="75000"/>
                    <a:lumOff val="25000"/>
                  </a:prstClr>
                </a:solidFill>
                <a:latin typeface="微软雅黑" panose="020B0503020204020204" pitchFamily="34" charset="-122"/>
                <a:ea typeface="微软雅黑" panose="020B0503020204020204" pitchFamily="34" charset="-122"/>
              </a:endParaRPr>
            </a:p>
          </xdr:txBody>
        </xdr:sp>
        <xdr:pic>
          <xdr:nvPicPr>
            <xdr:cNvPr id="28" name="图形 91">
              <a:extLst>
                <a:ext uri="{FF2B5EF4-FFF2-40B4-BE49-F238E27FC236}">
                  <a16:creationId xmlns:a16="http://schemas.microsoft.com/office/drawing/2014/main" id="{FFBBB6CF-C476-3485-FE07-55F4CEB00C47}"/>
                </a:ext>
              </a:extLst>
            </xdr:cNvPr>
            <xdr:cNvPicPr>
              <a:picLocks/>
            </xdr:cNvPicPr>
          </xdr:nvPicPr>
          <xdr:blipFill>
            <a:blip xmlns:r="http://schemas.openxmlformats.org/officeDocument/2006/relationships" r:embed="rId11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lc="http://schemas.openxmlformats.org/drawingml/2006/lockedCanvas" xmlns:asvg="http://schemas.microsoft.com/office/drawing/2016/SVG/main" xmlns="" xmlns:p="http://schemas.openxmlformats.org/presentationml/2006/main" r:embed="rId12"/>
                </a:ext>
              </a:extLst>
            </a:blip>
            <a:stretch>
              <a:fillRect/>
            </a:stretch>
          </xdr:blipFill>
          <xdr:spPr>
            <a:xfrm>
              <a:off x="6933767" y="3467556"/>
              <a:ext cx="308754" cy="285885"/>
            </a:xfrm>
            <a:prstGeom prst="rect">
              <a:avLst/>
            </a:prstGeom>
          </xdr:spPr>
        </xdr:pic>
      </xdr:grpSp>
      <xdr:sp macro="" textlink="">
        <xdr:nvSpPr>
          <xdr:cNvPr id="29" name="文本框 112">
            <a:extLst>
              <a:ext uri="{FF2B5EF4-FFF2-40B4-BE49-F238E27FC236}">
                <a16:creationId xmlns:a16="http://schemas.microsoft.com/office/drawing/2014/main" id="{A4DEB55D-9BD3-C042-DE8C-94769BE9179B}"/>
              </a:ext>
            </a:extLst>
          </xdr:cNvPr>
          <xdr:cNvSpPr txBox="1"/>
        </xdr:nvSpPr>
        <xdr:spPr>
          <a:xfrm>
            <a:off x="13277850" y="5400675"/>
            <a:ext cx="971021" cy="881844"/>
          </a:xfrm>
          <a:prstGeom prst="rect">
            <a:avLst/>
          </a:prstGeom>
          <a:noFill/>
        </xdr:spPr>
        <xdr:txBody>
          <a:bodyPr wrap="square">
            <a:noAutofit/>
          </a:bodyPr>
          <a:lstStyle>
            <a:defPPr marL="0" marR="0" indent="0" algn="l" defTabSz="6858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35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l" defTabSz="6858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35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Microsoft Sans Serif" panose="020B0604020202020204"/>
              </a:defRPr>
            </a:lvl1pPr>
            <a:lvl2pPr marL="0" marR="0" indent="342900" algn="l" defTabSz="6858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35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Microsoft Sans Serif" panose="020B0604020202020204"/>
              </a:defRPr>
            </a:lvl2pPr>
            <a:lvl3pPr marL="0" marR="0" indent="685800" algn="l" defTabSz="6858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35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Microsoft Sans Serif" panose="020B0604020202020204"/>
              </a:defRPr>
            </a:lvl3pPr>
            <a:lvl4pPr marL="0" marR="0" indent="1028700" algn="l" defTabSz="6858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35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Microsoft Sans Serif" panose="020B0604020202020204"/>
              </a:defRPr>
            </a:lvl4pPr>
            <a:lvl5pPr marL="0" marR="0" indent="1371600" algn="l" defTabSz="6858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35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Microsoft Sans Serif" panose="020B0604020202020204"/>
              </a:defRPr>
            </a:lvl5pPr>
            <a:lvl6pPr marL="0" marR="0" indent="1714500" algn="l" defTabSz="6858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35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Microsoft Sans Serif" panose="020B0604020202020204"/>
              </a:defRPr>
            </a:lvl6pPr>
            <a:lvl7pPr marL="0" marR="0" indent="2057400" algn="l" defTabSz="6858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35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Microsoft Sans Serif" panose="020B0604020202020204"/>
              </a:defRPr>
            </a:lvl7pPr>
            <a:lvl8pPr marL="0" marR="0" indent="2400300" algn="l" defTabSz="6858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35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Microsoft Sans Serif" panose="020B0604020202020204"/>
              </a:defRPr>
            </a:lvl8pPr>
            <a:lvl9pPr marL="0" marR="0" indent="2743200" algn="l" defTabSz="68580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35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Microsoft Sans Serif" panose="020B0604020202020204"/>
              </a:defRPr>
            </a:lvl9pPr>
          </a:lstStyle>
          <a:p>
            <a:pPr marL="171450" indent="-171450" hangingPunct="1">
              <a:buFont typeface="Arial" panose="020B0604020202020204" pitchFamily="34" charset="0"/>
              <a:buChar char="•"/>
            </a:pPr>
            <a:r>
              <a:rPr lang="zh-CN" altLang="en-US" sz="1050" kern="1200">
                <a:solidFill>
                  <a:prstClr val="black">
                    <a:lumMod val="75000"/>
                    <a:lumOff val="25000"/>
                  </a:prstClr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光模块</a:t>
            </a:r>
          </a:p>
          <a:p>
            <a:pPr marL="171450" indent="-171450" hangingPunct="1">
              <a:buFont typeface="Arial" panose="020B0604020202020204" pitchFamily="34" charset="0"/>
              <a:buChar char="•"/>
            </a:pPr>
            <a:r>
              <a:rPr lang="en-US" altLang="zh-CN" sz="1050" kern="1200">
                <a:solidFill>
                  <a:prstClr val="black">
                    <a:lumMod val="75000"/>
                    <a:lumOff val="25000"/>
                  </a:prstClr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PCB</a:t>
            </a:r>
          </a:p>
          <a:p>
            <a:pPr marL="171450" indent="-171450" hangingPunct="1">
              <a:buFont typeface="Arial" panose="020B0604020202020204" pitchFamily="34" charset="0"/>
              <a:buChar char="•"/>
            </a:pPr>
            <a:r>
              <a:rPr lang="zh-CN" altLang="en-US" sz="1050" kern="1200">
                <a:solidFill>
                  <a:prstClr val="black">
                    <a:lumMod val="75000"/>
                    <a:lumOff val="25000"/>
                  </a:prstClr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人工智能</a:t>
            </a:r>
          </a:p>
          <a:p>
            <a:pPr marL="171450" indent="-171450" hangingPunct="1">
              <a:buFont typeface="Arial" panose="020B0604020202020204" pitchFamily="34" charset="0"/>
              <a:buChar char="•"/>
            </a:pPr>
            <a:r>
              <a:rPr lang="zh-CN" altLang="en-US" sz="1050" kern="1200">
                <a:solidFill>
                  <a:prstClr val="black">
                    <a:lumMod val="75000"/>
                    <a:lumOff val="25000"/>
                  </a:prstClr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芯片</a:t>
            </a:r>
          </a:p>
          <a:p>
            <a:pPr marL="171450" indent="-171450" hangingPunct="1">
              <a:buFont typeface="Arial" panose="020B0604020202020204" pitchFamily="34" charset="0"/>
              <a:buChar char="•"/>
            </a:pPr>
            <a:r>
              <a:rPr lang="zh-CN" altLang="en-US" sz="1050" kern="1200">
                <a:solidFill>
                  <a:prstClr val="black">
                    <a:lumMod val="75000"/>
                    <a:lumOff val="25000"/>
                  </a:prstClr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云计算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THS_SJC"/>
      <definedName name="thsiFinD"/>
    </defined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i_pq_pctchange"/>
      <definedName name="s_yq_pctchange"/>
    </defined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马静怡" refreshedDate="46083.418500231484" createdVersion="6" refreshedVersion="6" minRefreshableVersion="3" recordCount="50">
  <cacheSource type="worksheet">
    <worksheetSource ref="I12:N62" sheet="四个第一"/>
  </cacheSource>
  <cacheFields count="6">
    <cacheField name="日期" numFmtId="183">
      <sharedItems containsSemiMixedTypes="0" containsNonDate="0" containsDate="1" containsString="0" minDate="2026-03-02T00:00:00" maxDate="2026-03-03T00:00:00"/>
    </cacheField>
    <cacheField name="同花顺代码" numFmtId="49">
      <sharedItems/>
    </cacheField>
    <cacheField name="证券名称" numFmtId="49">
      <sharedItems/>
    </cacheField>
    <cacheField name="最新权重" numFmtId="182">
      <sharedItems containsSemiMixedTypes="0" containsString="0" containsNumber="1" minValue="0.41770000000000002" maxValue="19.721699999999998"/>
    </cacheField>
    <cacheField name="申万一级行业" numFmtId="0">
      <sharedItems count="11">
        <s v="传媒"/>
        <s v="电力设备"/>
        <s v="医药生物"/>
        <s v="计算机"/>
        <s v="机械设备"/>
        <s v="非银金融"/>
        <s v="电子"/>
        <s v="通信"/>
        <s v="国防军工"/>
        <s v="有色金属"/>
        <s v="美容护理" u="1"/>
      </sharedItems>
    </cacheField>
    <cacheField name="周涨跌幅" numFmtId="10">
      <sharedItems containsSemiMixedTypes="0" containsString="0" containsNumber="1" minValue="-0.28398236590741999" maxValue="0.400187636818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马静怡" refreshedDate="46083.418549074071" createdVersion="6" refreshedVersion="6" minRefreshableVersion="3" recordCount="102">
  <cacheSource type="worksheet">
    <worksheetSource ref="W12:AA114" sheet="四个第一"/>
  </cacheSource>
  <cacheFields count="5">
    <cacheField name="日期" numFmtId="183">
      <sharedItems containsSemiMixedTypes="0" containsNonDate="0" containsDate="1" containsString="0" minDate="2025-12-22T00:00:00" maxDate="2026-03-03T00:00:00"/>
    </cacheField>
    <cacheField name="同花顺代码" numFmtId="49">
      <sharedItems/>
    </cacheField>
    <cacheField name="证券名称" numFmtId="49">
      <sharedItems/>
    </cacheField>
    <cacheField name="最新权重" numFmtId="182">
      <sharedItems containsString="0" containsBlank="1" containsNumber="1" minValue="0.10539999999999999" maxValue="16.154900000000001"/>
    </cacheField>
    <cacheField name="申万一级行业" numFmtId="0">
      <sharedItems containsBlank="1" count="19">
        <s v="电力设备"/>
        <s v="传媒"/>
        <s v="医药生物"/>
        <s v="社会服务"/>
        <s v="计算机"/>
        <s v="机械设备"/>
        <s v="电子"/>
        <s v="非银金融"/>
        <s v="汽车"/>
        <s v="食品饮料"/>
        <s v="通信"/>
        <s v="国防军工"/>
        <s v="基础化工"/>
        <s v="农林牧渔"/>
        <s v="有色金属"/>
        <s v="美容护理"/>
        <s v="纺织服饰"/>
        <m/>
        <s v="环保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马静怡" refreshedDate="46083.418588541666" createdVersion="6" refreshedVersion="6" minRefreshableVersion="3" recordCount="50">
  <cacheSource type="worksheet">
    <worksheetSource ref="AC12:AG62" sheet="四个第一"/>
  </cacheSource>
  <cacheFields count="5">
    <cacheField name="日期" numFmtId="183">
      <sharedItems containsSemiMixedTypes="0" containsNonDate="0" containsDate="1" containsString="0" minDate="2026-03-02T00:00:00" maxDate="2026-03-03T00:00:00"/>
    </cacheField>
    <cacheField name="同花顺代码" numFmtId="49">
      <sharedItems/>
    </cacheField>
    <cacheField name="证券名称" numFmtId="49">
      <sharedItems/>
    </cacheField>
    <cacheField name="最新权重" numFmtId="182">
      <sharedItems containsSemiMixedTypes="0" containsString="0" containsNumber="1" minValue="0.21299999999999999" maxValue="9.3889999999999993"/>
    </cacheField>
    <cacheField name="申万一级行业" numFmtId="0">
      <sharedItems count="10">
        <s v="电子"/>
        <s v="机械设备"/>
        <s v="基础化工"/>
        <s v="计算机"/>
        <s v="医药生物"/>
        <s v="国防军工"/>
        <s v="家用电器"/>
        <s v="电力设备"/>
        <s v="汽车"/>
        <s v="美容护理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马静怡" refreshedDate="46083.418630555556" createdVersion="6" refreshedVersion="6" minRefreshableVersion="3" recordCount="302">
  <cacheSource type="worksheet">
    <worksheetSource ref="AI12:AM314" sheet="四个第一"/>
  </cacheSource>
  <cacheFields count="5">
    <cacheField name="日期" numFmtId="183">
      <sharedItems containsSemiMixedTypes="0" containsNonDate="0" containsDate="1" containsString="0" minDate="2025-12-22T00:00:00" maxDate="2026-03-03T00:00:00"/>
    </cacheField>
    <cacheField name="同花顺代码" numFmtId="49">
      <sharedItems/>
    </cacheField>
    <cacheField name="证券名称" numFmtId="49">
      <sharedItems/>
    </cacheField>
    <cacheField name="最新权重" numFmtId="182">
      <sharedItems containsSemiMixedTypes="0" containsString="0" containsNumber="1" minValue="2.3E-2" maxValue="3.544"/>
    </cacheField>
    <cacheField name="申万一级行业" numFmtId="0">
      <sharedItems containsBlank="1" count="29">
        <s v="银行"/>
        <s v="房地产"/>
        <s v="通信"/>
        <s v="电子"/>
        <s v="机械设备"/>
        <s v="非银金融"/>
        <s v="石油石化"/>
        <s v="家用电器"/>
        <s v="汽车"/>
        <s v="有色金属"/>
        <s v="医药生物"/>
        <s v="食品饮料"/>
        <s v="钢铁"/>
        <s v="国防军工"/>
        <s v="建筑材料"/>
        <s v="基础化工"/>
        <s v="农林牧渔"/>
        <s v="计算机"/>
        <s v="煤炭"/>
        <s v="交通运输"/>
        <s v="传媒"/>
        <s v="电力设备"/>
        <s v="公用事业"/>
        <m/>
        <s v="美容护理"/>
        <s v="纺织服饰"/>
        <s v="建筑装饰"/>
        <s v="商贸零售"/>
        <s v="轻工制造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马静怡" refreshedDate="46083.418668749997" createdVersion="6" refreshedVersion="6" minRefreshableVersion="3" recordCount="502">
  <cacheSource type="worksheet">
    <worksheetSource ref="AO12:AS514" sheet="四个第一"/>
  </cacheSource>
  <cacheFields count="5">
    <cacheField name="日期" numFmtId="183">
      <sharedItems containsSemiMixedTypes="0" containsNonDate="0" containsDate="1" containsString="0" minDate="2025-12-22T00:00:00" maxDate="2026-03-03T00:00:00"/>
    </cacheField>
    <cacheField name="同花顺代码" numFmtId="49">
      <sharedItems/>
    </cacheField>
    <cacheField name="证券名称" numFmtId="49">
      <sharedItems/>
    </cacheField>
    <cacheField name="最新权重" numFmtId="182">
      <sharedItems containsSemiMixedTypes="0" containsString="0" containsNumber="1" minValue="2.3E-2" maxValue="0.86"/>
    </cacheField>
    <cacheField name="申万一级行业" numFmtId="0">
      <sharedItems containsBlank="1" count="32">
        <s v="电力设备"/>
        <s v="电子"/>
        <s v="公用事业"/>
        <s v="建筑装饰"/>
        <s v="计算机"/>
        <s v="机械设备"/>
        <s v="有色金属"/>
        <s v="交通运输"/>
        <s v="非银金融"/>
        <s v="医药生物"/>
        <s v="国防军工"/>
        <s v="汽车"/>
        <s v="环保"/>
        <s v="钢铁"/>
        <s v="基础化工"/>
        <s v="石油石化"/>
        <s v="煤炭"/>
        <s v="食品饮料"/>
        <s v="商贸零售"/>
        <s v="家用电器"/>
        <s v="轻工制造"/>
        <s v="建筑材料"/>
        <s v="农林牧渔"/>
        <m/>
        <s v="房地产"/>
        <s v="通信"/>
        <s v="传媒"/>
        <s v="社会服务"/>
        <s v="银行"/>
        <s v="美容护理"/>
        <s v="纺织服饰"/>
        <s v="综合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马静怡" refreshedDate="46104.404732291667" createdVersion="6" refreshedVersion="6" minRefreshableVersion="3" recordCount="50">
  <cacheSource type="worksheet">
    <worksheetSource ref="I12:N62" sheet="成份股"/>
  </cacheSource>
  <cacheFields count="6">
    <cacheField name="日期" numFmtId="183">
      <sharedItems containsSemiMixedTypes="0" containsNonDate="0" containsDate="1" containsString="0" minDate="2026-03-23T00:00:00" maxDate="2026-03-24T00:00:00"/>
    </cacheField>
    <cacheField name="同花顺代码" numFmtId="49">
      <sharedItems/>
    </cacheField>
    <cacheField name="证券名称" numFmtId="49">
      <sharedItems/>
    </cacheField>
    <cacheField name="最新权重" numFmtId="182">
      <sharedItems containsSemiMixedTypes="0" containsString="0" containsNumber="1" minValue="0.41770000000000002" maxValue="19.721699999999998"/>
    </cacheField>
    <cacheField name="申万一级行业" numFmtId="0">
      <sharedItems containsMixedTypes="1" containsNumber="1" containsInteger="1" minValue="0" maxValue="0" count="11">
        <s v="传媒"/>
        <s v="电力设备"/>
        <s v="医药生物"/>
        <s v="计算机"/>
        <s v="机械设备"/>
        <s v="非银金融"/>
        <s v="电子"/>
        <s v="通信"/>
        <s v="国防军工"/>
        <s v="有色金属"/>
        <n v="0" u="1"/>
      </sharedItems>
    </cacheField>
    <cacheField name="周涨跌幅" numFmtId="10">
      <sharedItems containsSemiMixedTypes="0" containsString="0" containsNumber="1" minValue="-0.14073748902546002" maxValue="0.210694617161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d v="2026-03-02T00:00:00"/>
    <s v="300002.SZ"/>
    <s v="神州泰岳"/>
    <n v="0.49049999999999999"/>
    <x v="0"/>
    <n v="-4.6683046683046993E-2"/>
  </r>
  <r>
    <d v="2026-03-02T00:00:00"/>
    <s v="300014.SZ"/>
    <s v="亿纬锂能"/>
    <n v="1.8591"/>
    <x v="1"/>
    <n v="-2.2734399498275E-2"/>
  </r>
  <r>
    <d v="2026-03-02T00:00:00"/>
    <s v="300015.SZ"/>
    <s v="爱尔眼科"/>
    <n v="1.0341"/>
    <x v="2"/>
    <n v="2.6137463697967E-2"/>
  </r>
  <r>
    <d v="2026-03-02T00:00:00"/>
    <s v="300017.SZ"/>
    <s v="网宿科技"/>
    <n v="0.95409999999999995"/>
    <x v="3"/>
    <n v="-0.10301953818828"/>
  </r>
  <r>
    <d v="2026-03-02T00:00:00"/>
    <s v="300024.SZ"/>
    <s v="机器人"/>
    <n v="0.46589999999999998"/>
    <x v="4"/>
    <n v="-1.6301292861158001E-2"/>
  </r>
  <r>
    <d v="2026-03-02T00:00:00"/>
    <s v="300033.SZ"/>
    <s v="同花顺"/>
    <n v="1.5253000000000001"/>
    <x v="3"/>
    <n v="-1.5025338588743999E-2"/>
  </r>
  <r>
    <d v="2026-03-02T00:00:00"/>
    <s v="300058.SZ"/>
    <s v="蓝色光标"/>
    <n v="1.4961"/>
    <x v="0"/>
    <n v="-2.6315789473684001E-2"/>
  </r>
  <r>
    <d v="2026-03-02T00:00:00"/>
    <s v="300059.SZ"/>
    <s v="东方财富"/>
    <n v="6.516"/>
    <x v="5"/>
    <n v="6.7054090299507995E-3"/>
  </r>
  <r>
    <d v="2026-03-02T00:00:00"/>
    <s v="300073.SZ"/>
    <s v="当升科技"/>
    <n v="0.51480000000000004"/>
    <x v="1"/>
    <n v="6.3536886692552993E-3"/>
  </r>
  <r>
    <d v="2026-03-02T00:00:00"/>
    <s v="300115.SZ"/>
    <s v="长盈精密"/>
    <n v="0.81940000000000002"/>
    <x v="6"/>
    <n v="-3.8040775733466002E-2"/>
  </r>
  <r>
    <d v="2026-03-02T00:00:00"/>
    <s v="300122.SZ"/>
    <s v="智飞生物"/>
    <n v="0.43709999999999999"/>
    <x v="2"/>
    <n v="2.3076923076922998E-2"/>
  </r>
  <r>
    <d v="2026-03-02T00:00:00"/>
    <s v="300124.SZ"/>
    <s v="汇川技术"/>
    <n v="3.2299000000000002"/>
    <x v="4"/>
    <n v="-2.9286474973376001E-2"/>
  </r>
  <r>
    <d v="2026-03-02T00:00:00"/>
    <s v="300136.SZ"/>
    <s v="信维通信"/>
    <n v="1.3836999999999999"/>
    <x v="6"/>
    <n v="4.6311475409835996E-2"/>
  </r>
  <r>
    <d v="2026-03-02T00:00:00"/>
    <s v="300207.SZ"/>
    <s v="欣旺达"/>
    <n v="0.79679999999999995"/>
    <x v="1"/>
    <n v="2.2283033620016001E-2"/>
  </r>
  <r>
    <d v="2026-03-02T00:00:00"/>
    <s v="300223.SZ"/>
    <s v="北京君正"/>
    <n v="1.0282"/>
    <x v="6"/>
    <n v="9.3326766806204997E-2"/>
  </r>
  <r>
    <d v="2026-03-02T00:00:00"/>
    <s v="300251.SZ"/>
    <s v="光线传媒"/>
    <n v="0.62039999999999995"/>
    <x v="0"/>
    <n v="-0.28398236590741999"/>
  </r>
  <r>
    <d v="2026-03-02T00:00:00"/>
    <s v="300255.SZ"/>
    <s v="常山药业"/>
    <n v="0.69059999999999999"/>
    <x v="2"/>
    <n v="8.0611535788741986E-2"/>
  </r>
  <r>
    <d v="2026-03-02T00:00:00"/>
    <s v="300274.SZ"/>
    <s v="阳光电源"/>
    <n v="4.8080999999999996"/>
    <x v="1"/>
    <n v="-3.1241619737195001E-2"/>
  </r>
  <r>
    <d v="2026-03-02T00:00:00"/>
    <s v="300308.SZ"/>
    <s v="中际旭创"/>
    <n v="10.263"/>
    <x v="7"/>
    <n v="5.6497175141242998E-3"/>
  </r>
  <r>
    <d v="2026-03-02T00:00:00"/>
    <s v="300316.SZ"/>
    <s v="晶盛机电"/>
    <n v="0.76470000000000005"/>
    <x v="1"/>
    <n v="9.0588925846214002E-2"/>
  </r>
  <r>
    <d v="2026-03-02T00:00:00"/>
    <s v="300339.SZ"/>
    <s v="润和软件"/>
    <n v="0.8851"/>
    <x v="3"/>
    <n v="5.1198699715562998E-2"/>
  </r>
  <r>
    <d v="2026-03-02T00:00:00"/>
    <s v="300346.SZ"/>
    <s v="南大光电"/>
    <n v="0.75549999999999995"/>
    <x v="6"/>
    <n v="5.5844155844156002E-2"/>
  </r>
  <r>
    <d v="2026-03-02T00:00:00"/>
    <s v="300347.SZ"/>
    <s v="泰格医药"/>
    <n v="0.70589999999999997"/>
    <x v="2"/>
    <n v="-2.0367936925099001E-2"/>
  </r>
  <r>
    <d v="2026-03-02T00:00:00"/>
    <s v="300373.SZ"/>
    <s v="扬杰科技"/>
    <n v="0.56569999999999998"/>
    <x v="6"/>
    <n v="2.0312864814383002E-2"/>
  </r>
  <r>
    <d v="2026-03-02T00:00:00"/>
    <s v="300394.SZ"/>
    <s v="天孚通信"/>
    <n v="3.6545000000000001"/>
    <x v="7"/>
    <n v="0.18332370498747999"/>
  </r>
  <r>
    <d v="2026-03-02T00:00:00"/>
    <s v="300395.SZ"/>
    <s v="菲利华"/>
    <n v="1.2726999999999999"/>
    <x v="8"/>
    <n v="0.40018763681851"/>
  </r>
  <r>
    <d v="2026-03-02T00:00:00"/>
    <s v="300408.SZ"/>
    <s v="三环集团"/>
    <n v="1.7758"/>
    <x v="6"/>
    <n v="0.11150255416593"/>
  </r>
  <r>
    <d v="2026-03-02T00:00:00"/>
    <s v="300418.SZ"/>
    <s v="昆仑万维"/>
    <n v="1.169"/>
    <x v="0"/>
    <n v="1.1756913396257999E-2"/>
  </r>
  <r>
    <d v="2026-03-02T00:00:00"/>
    <s v="300433.SZ"/>
    <s v="蓝思科技"/>
    <n v="1.5314000000000001"/>
    <x v="6"/>
    <n v="2.5663458734325004E-2"/>
  </r>
  <r>
    <d v="2026-03-02T00:00:00"/>
    <s v="300442.SZ"/>
    <s v="润泽科技"/>
    <n v="1.5887"/>
    <x v="7"/>
    <n v="0.35150326797386"/>
  </r>
  <r>
    <d v="2026-03-02T00:00:00"/>
    <s v="300450.SZ"/>
    <s v="先导智能"/>
    <n v="1.3494999999999999"/>
    <x v="1"/>
    <n v="0"/>
  </r>
  <r>
    <d v="2026-03-02T00:00:00"/>
    <s v="300458.SZ"/>
    <s v="全志科技"/>
    <n v="0.56830000000000003"/>
    <x v="6"/>
    <n v="1.6205910390848E-2"/>
  </r>
  <r>
    <d v="2026-03-02T00:00:00"/>
    <s v="300474.SZ"/>
    <s v="景嘉微"/>
    <n v="0.55479999999999996"/>
    <x v="8"/>
    <n v="6.4263760827047997E-3"/>
  </r>
  <r>
    <d v="2026-03-02T00:00:00"/>
    <s v="300476.SZ"/>
    <s v="胜宏科技"/>
    <n v="4.1612999999999998"/>
    <x v="6"/>
    <n v="0.17000153917193001"/>
  </r>
  <r>
    <d v="2026-03-02T00:00:00"/>
    <s v="300496.SZ"/>
    <s v="中科创达"/>
    <n v="0.57340000000000002"/>
    <x v="3"/>
    <n v="-1.0840108401084E-2"/>
  </r>
  <r>
    <d v="2026-03-02T00:00:00"/>
    <s v="300502.SZ"/>
    <s v="新易盛"/>
    <n v="7.1985000000000001"/>
    <x v="7"/>
    <n v="-1.7071371992024E-2"/>
  </r>
  <r>
    <d v="2026-03-02T00:00:00"/>
    <s v="300548.SZ"/>
    <s v="长芯博创"/>
    <n v="0.73160000000000003"/>
    <x v="7"/>
    <n v="-5.3290734824281004E-2"/>
  </r>
  <r>
    <d v="2026-03-02T00:00:00"/>
    <s v="300604.SZ"/>
    <s v="长川科技"/>
    <n v="1.409"/>
    <x v="6"/>
    <n v="0.10651657860479"/>
  </r>
  <r>
    <d v="2026-03-02T00:00:00"/>
    <s v="300724.SZ"/>
    <s v="捷佳伟创"/>
    <n v="0.75460000000000005"/>
    <x v="1"/>
    <n v="8.3129584352078009E-3"/>
  </r>
  <r>
    <d v="2026-03-02T00:00:00"/>
    <s v="300748.SZ"/>
    <s v="金力永磁"/>
    <n v="0.62609999999999999"/>
    <x v="9"/>
    <n v="0.10193133047210001"/>
  </r>
  <r>
    <d v="2026-03-02T00:00:00"/>
    <s v="300750.SZ"/>
    <s v="宁德时代"/>
    <n v="19.721699999999998"/>
    <x v="1"/>
    <n v="-6.3858323753215998E-2"/>
  </r>
  <r>
    <d v="2026-03-02T00:00:00"/>
    <s v="300759.SZ"/>
    <s v="康龙化成"/>
    <n v="0.62619999999999998"/>
    <x v="2"/>
    <n v="-1.0033444816053E-2"/>
  </r>
  <r>
    <d v="2026-03-02T00:00:00"/>
    <s v="300760.SZ"/>
    <s v="迈瑞医疗"/>
    <n v="2.5421"/>
    <x v="2"/>
    <n v="8.0745007267037994E-4"/>
  </r>
  <r>
    <d v="2026-03-02T00:00:00"/>
    <s v="300763.SZ"/>
    <s v="锦浪科技"/>
    <n v="0.41770000000000002"/>
    <x v="1"/>
    <n v="0.10543592436975001"/>
  </r>
  <r>
    <d v="2026-03-02T00:00:00"/>
    <s v="300782.SZ"/>
    <s v="卓胜微"/>
    <n v="0.61939999999999995"/>
    <x v="6"/>
    <n v="8.4381338742393008E-2"/>
  </r>
  <r>
    <d v="2026-03-02T00:00:00"/>
    <s v="300803.SZ"/>
    <s v="指南针"/>
    <n v="0.96650000000000003"/>
    <x v="3"/>
    <n v="7.1174377224200005E-3"/>
  </r>
  <r>
    <d v="2026-03-02T00:00:00"/>
    <s v="300857.SZ"/>
    <s v="协创数据"/>
    <n v="1.3466"/>
    <x v="6"/>
    <n v="7.6330334449509998E-2"/>
  </r>
  <r>
    <d v="2026-03-02T00:00:00"/>
    <s v="301236.SZ"/>
    <s v="软通动力"/>
    <n v="0.68169999999999997"/>
    <x v="3"/>
    <n v="4.2105263157895E-2"/>
  </r>
  <r>
    <d v="2026-03-02T00:00:00"/>
    <s v="301308.SZ"/>
    <s v="江波龙"/>
    <n v="1.0528"/>
    <x v="6"/>
    <n v="-3.9481049754684E-2"/>
  </r>
  <r>
    <d v="2026-03-02T00:00:00"/>
    <s v="302132.SZ"/>
    <s v="中航成飞"/>
    <n v="0.496"/>
    <x v="8"/>
    <n v="1.2584948401713001E-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2">
  <r>
    <d v="2026-03-02T00:00:00"/>
    <s v="300001.SZ"/>
    <s v="特锐德"/>
    <n v="0.39939999999999998"/>
    <x v="0"/>
  </r>
  <r>
    <d v="2026-03-02T00:00:00"/>
    <s v="300002.SZ"/>
    <s v="神州泰岳"/>
    <n v="0.40179999999999999"/>
    <x v="1"/>
  </r>
  <r>
    <d v="2026-03-02T00:00:00"/>
    <s v="300003.SZ"/>
    <s v="乐普医疗"/>
    <n v="0.39979999999999999"/>
    <x v="2"/>
  </r>
  <r>
    <d v="2026-03-02T00:00:00"/>
    <s v="300012.SZ"/>
    <s v="华测检测"/>
    <n v="0.4199"/>
    <x v="3"/>
  </r>
  <r>
    <d v="2026-03-02T00:00:00"/>
    <s v="300014.SZ"/>
    <s v="亿纬锂能"/>
    <n v="1.5228999999999999"/>
    <x v="0"/>
  </r>
  <r>
    <d v="2026-03-02T00:00:00"/>
    <s v="300015.SZ"/>
    <s v="爱尔眼科"/>
    <n v="0.84709999999999996"/>
    <x v="2"/>
  </r>
  <r>
    <d v="2026-03-02T00:00:00"/>
    <s v="300017.SZ"/>
    <s v="网宿科技"/>
    <n v="0.78149999999999997"/>
    <x v="4"/>
  </r>
  <r>
    <d v="2026-03-02T00:00:00"/>
    <s v="300024.SZ"/>
    <s v="机器人"/>
    <n v="0.38159999999999999"/>
    <x v="5"/>
  </r>
  <r>
    <d v="2026-03-02T00:00:00"/>
    <s v="300033.SZ"/>
    <s v="同花顺"/>
    <n v="1.2495000000000001"/>
    <x v="4"/>
  </r>
  <r>
    <d v="2026-03-02T00:00:00"/>
    <s v="300037.SZ"/>
    <s v="新宙邦"/>
    <n v="0.50660000000000005"/>
    <x v="0"/>
  </r>
  <r>
    <d v="2026-03-02T00:00:00"/>
    <s v="300054.SZ"/>
    <s v="鼎龙股份"/>
    <n v="0.58450000000000002"/>
    <x v="6"/>
  </r>
  <r>
    <d v="2026-03-02T00:00:00"/>
    <s v="300058.SZ"/>
    <s v="蓝色光标"/>
    <n v="1.2255"/>
    <x v="1"/>
  </r>
  <r>
    <d v="2026-03-02T00:00:00"/>
    <s v="300059.SZ"/>
    <s v="东方财富"/>
    <n v="5.3375000000000004"/>
    <x v="7"/>
  </r>
  <r>
    <d v="2026-03-02T00:00:00"/>
    <s v="300073.SZ"/>
    <s v="当升科技"/>
    <n v="0.42170000000000002"/>
    <x v="0"/>
  </r>
  <r>
    <d v="2026-03-02T00:00:00"/>
    <s v="300100.SZ"/>
    <s v="双林股份"/>
    <n v="0.2024"/>
    <x v="8"/>
  </r>
  <r>
    <d v="2026-03-02T00:00:00"/>
    <s v="300115.SZ"/>
    <s v="长盈精密"/>
    <n v="0.67120000000000002"/>
    <x v="6"/>
  </r>
  <r>
    <d v="2026-03-02T00:00:00"/>
    <s v="300122.SZ"/>
    <s v="智飞生物"/>
    <n v="0.35799999999999998"/>
    <x v="2"/>
  </r>
  <r>
    <d v="2026-03-02T00:00:00"/>
    <s v="300124.SZ"/>
    <s v="汇川技术"/>
    <n v="2.6457000000000002"/>
    <x v="5"/>
  </r>
  <r>
    <d v="2026-03-02T00:00:00"/>
    <s v="300136.SZ"/>
    <s v="信维通信"/>
    <n v="1.1335"/>
    <x v="6"/>
  </r>
  <r>
    <d v="2026-03-02T00:00:00"/>
    <s v="300142.SZ"/>
    <s v="沃森生物"/>
    <n v="0.36609999999999998"/>
    <x v="2"/>
  </r>
  <r>
    <d v="2026-03-02T00:00:00"/>
    <s v="300144.SZ"/>
    <s v="宋城演艺"/>
    <n v="0.24460000000000001"/>
    <x v="3"/>
  </r>
  <r>
    <d v="2026-03-02T00:00:00"/>
    <s v="300146.SZ"/>
    <s v="汤臣倍健"/>
    <n v="0.2165"/>
    <x v="9"/>
  </r>
  <r>
    <d v="2026-03-02T00:00:00"/>
    <s v="300207.SZ"/>
    <s v="欣旺达"/>
    <n v="0.65269999999999995"/>
    <x v="0"/>
  </r>
  <r>
    <d v="2026-03-02T00:00:00"/>
    <s v="300223.SZ"/>
    <s v="北京君正"/>
    <n v="0.84230000000000005"/>
    <x v="6"/>
  </r>
  <r>
    <d v="2026-03-02T00:00:00"/>
    <s v="300251.SZ"/>
    <s v="光线传媒"/>
    <n v="0.50819999999999999"/>
    <x v="1"/>
  </r>
  <r>
    <d v="2026-03-02T00:00:00"/>
    <s v="300253.SZ"/>
    <s v="卫宁健康"/>
    <n v="0.3518"/>
    <x v="4"/>
  </r>
  <r>
    <d v="2026-03-02T00:00:00"/>
    <s v="300255.SZ"/>
    <s v="常山药业"/>
    <n v="0.56569999999999998"/>
    <x v="2"/>
  </r>
  <r>
    <d v="2026-03-02T00:00:00"/>
    <s v="300274.SZ"/>
    <s v="阳光电源"/>
    <n v="3.9384999999999999"/>
    <x v="0"/>
  </r>
  <r>
    <d v="2026-03-02T00:00:00"/>
    <s v="300285.SZ"/>
    <s v="国瓷材料"/>
    <n v="0.58489999999999998"/>
    <x v="6"/>
  </r>
  <r>
    <d v="2026-03-02T00:00:00"/>
    <s v="300308.SZ"/>
    <s v="中际旭创"/>
    <n v="8.4069000000000003"/>
    <x v="10"/>
  </r>
  <r>
    <d v="2026-03-02T00:00:00"/>
    <s v="300316.SZ"/>
    <s v="晶盛机电"/>
    <n v="0.62639999999999996"/>
    <x v="0"/>
  </r>
  <r>
    <d v="2026-03-02T00:00:00"/>
    <s v="300339.SZ"/>
    <s v="润和软件"/>
    <n v="0.72499999999999998"/>
    <x v="4"/>
  </r>
  <r>
    <d v="2026-03-02T00:00:00"/>
    <s v="300346.SZ"/>
    <s v="南大光电"/>
    <n v="0.61880000000000002"/>
    <x v="6"/>
  </r>
  <r>
    <d v="2026-03-02T00:00:00"/>
    <s v="300347.SZ"/>
    <s v="泰格医药"/>
    <n v="0.57820000000000005"/>
    <x v="2"/>
  </r>
  <r>
    <d v="2026-03-02T00:00:00"/>
    <s v="300373.SZ"/>
    <s v="扬杰科技"/>
    <n v="0.46339999999999998"/>
    <x v="6"/>
  </r>
  <r>
    <d v="2026-03-02T00:00:00"/>
    <s v="300383.SZ"/>
    <s v="光环新网"/>
    <n v="0.45619999999999999"/>
    <x v="10"/>
  </r>
  <r>
    <d v="2026-03-02T00:00:00"/>
    <s v="300394.SZ"/>
    <s v="天孚通信"/>
    <n v="2.9935999999999998"/>
    <x v="10"/>
  </r>
  <r>
    <d v="2026-03-02T00:00:00"/>
    <s v="300395.SZ"/>
    <s v="菲利华"/>
    <n v="1.0425"/>
    <x v="11"/>
  </r>
  <r>
    <d v="2026-03-02T00:00:00"/>
    <s v="300408.SZ"/>
    <s v="三环集团"/>
    <n v="1.4547000000000001"/>
    <x v="6"/>
  </r>
  <r>
    <d v="2026-03-02T00:00:00"/>
    <s v="300413.SZ"/>
    <s v="芒果超媒"/>
    <n v="0.27689999999999998"/>
    <x v="1"/>
  </r>
  <r>
    <d v="2026-03-02T00:00:00"/>
    <s v="300418.SZ"/>
    <s v="昆仑万维"/>
    <n v="0.95750000000000002"/>
    <x v="1"/>
  </r>
  <r>
    <d v="2026-03-02T00:00:00"/>
    <s v="300432.SZ"/>
    <s v="富临精工"/>
    <n v="0.34139999999999998"/>
    <x v="0"/>
  </r>
  <r>
    <d v="2026-03-02T00:00:00"/>
    <s v="300433.SZ"/>
    <s v="蓝思科技"/>
    <n v="1.2544"/>
    <x v="6"/>
  </r>
  <r>
    <d v="2026-03-02T00:00:00"/>
    <s v="300442.SZ"/>
    <s v="润泽科技"/>
    <n v="1.3013999999999999"/>
    <x v="10"/>
  </r>
  <r>
    <d v="2026-03-02T00:00:00"/>
    <s v="300450.SZ"/>
    <s v="先导智能"/>
    <n v="1.1053999999999999"/>
    <x v="0"/>
  </r>
  <r>
    <d v="2026-03-02T00:00:00"/>
    <s v="300454.SZ"/>
    <s v="深信服"/>
    <n v="0.57220000000000004"/>
    <x v="4"/>
  </r>
  <r>
    <d v="2026-03-02T00:00:00"/>
    <s v="300458.SZ"/>
    <s v="全志科技"/>
    <n v="0.46550000000000002"/>
    <x v="6"/>
  </r>
  <r>
    <d v="2026-03-02T00:00:00"/>
    <s v="300474.SZ"/>
    <s v="景嘉微"/>
    <n v="0.45440000000000003"/>
    <x v="11"/>
  </r>
  <r>
    <d v="2026-03-02T00:00:00"/>
    <s v="300476.SZ"/>
    <s v="胜宏科技"/>
    <n v="3.4087000000000001"/>
    <x v="6"/>
  </r>
  <r>
    <d v="2026-03-02T00:00:00"/>
    <s v="300487.SZ"/>
    <s v="蓝晓科技"/>
    <n v="0.34339999999999998"/>
    <x v="12"/>
  </r>
  <r>
    <d v="2026-03-02T00:00:00"/>
    <s v="300496.SZ"/>
    <s v="中科创达"/>
    <n v="0.46970000000000001"/>
    <x v="4"/>
  </r>
  <r>
    <d v="2026-03-02T00:00:00"/>
    <s v="300498.SZ"/>
    <s v="温氏股份"/>
    <n v="1.6319999999999999"/>
    <x v="13"/>
  </r>
  <r>
    <d v="2026-03-02T00:00:00"/>
    <s v="300502.SZ"/>
    <s v="新易盛"/>
    <n v="5.8966000000000003"/>
    <x v="10"/>
  </r>
  <r>
    <d v="2026-03-02T00:00:00"/>
    <s v="300529.SZ"/>
    <s v="健帆生物"/>
    <n v="0.15479999999999999"/>
    <x v="2"/>
  </r>
  <r>
    <d v="2026-03-02T00:00:00"/>
    <s v="300548.SZ"/>
    <s v="长芯博创"/>
    <n v="0.59930000000000005"/>
    <x v="10"/>
  </r>
  <r>
    <d v="2026-03-02T00:00:00"/>
    <s v="300558.SZ"/>
    <s v="贝达药业"/>
    <n v="0.2157"/>
    <x v="2"/>
  </r>
  <r>
    <d v="2026-03-02T00:00:00"/>
    <s v="300567.SZ"/>
    <s v="精测电子"/>
    <n v="0.54359999999999997"/>
    <x v="5"/>
  </r>
  <r>
    <d v="2026-03-02T00:00:00"/>
    <s v="300601.SZ"/>
    <s v="康泰生物"/>
    <n v="0.17829999999999999"/>
    <x v="2"/>
  </r>
  <r>
    <d v="2026-03-02T00:00:00"/>
    <s v="300604.SZ"/>
    <s v="长川科技"/>
    <n v="1.1541999999999999"/>
    <x v="6"/>
  </r>
  <r>
    <d v="2026-03-02T00:00:00"/>
    <s v="300627.SZ"/>
    <s v="华测导航"/>
    <n v="0.34720000000000001"/>
    <x v="10"/>
  </r>
  <r>
    <d v="2026-03-02T00:00:00"/>
    <s v="300628.SZ"/>
    <s v="亿联网络"/>
    <n v="0.32779999999999998"/>
    <x v="10"/>
  </r>
  <r>
    <d v="2026-03-02T00:00:00"/>
    <s v="300661.SZ"/>
    <s v="圣邦股份"/>
    <n v="0.50770000000000004"/>
    <x v="6"/>
  </r>
  <r>
    <d v="2026-03-02T00:00:00"/>
    <s v="300666.SZ"/>
    <s v="江丰电子"/>
    <n v="0.61650000000000005"/>
    <x v="6"/>
  </r>
  <r>
    <d v="2026-03-02T00:00:00"/>
    <s v="300676.SZ"/>
    <s v="华大基因"/>
    <n v="0.2379"/>
    <x v="2"/>
  </r>
  <r>
    <d v="2026-03-02T00:00:00"/>
    <s v="300677.SZ"/>
    <s v="英科医疗"/>
    <n v="0.34039999999999998"/>
    <x v="2"/>
  </r>
  <r>
    <d v="2026-03-02T00:00:00"/>
    <s v="300679.SZ"/>
    <s v="电连技术"/>
    <n v="0.22209999999999999"/>
    <x v="6"/>
  </r>
  <r>
    <d v="2026-03-02T00:00:00"/>
    <s v="300699.SZ"/>
    <s v="光威复材"/>
    <n v="0.39739999999999998"/>
    <x v="11"/>
  </r>
  <r>
    <d v="2026-03-02T00:00:00"/>
    <s v="300718.SZ"/>
    <s v="长盛轴承"/>
    <n v="0.18790000000000001"/>
    <x v="5"/>
  </r>
  <r>
    <d v="2026-03-02T00:00:00"/>
    <s v="300724.SZ"/>
    <s v="捷佳伟创"/>
    <n v="0.61809999999999998"/>
    <x v="0"/>
  </r>
  <r>
    <d v="2026-03-02T00:00:00"/>
    <s v="300735.SZ"/>
    <s v="光弘科技"/>
    <n v="0.1938"/>
    <x v="6"/>
  </r>
  <r>
    <d v="2026-03-02T00:00:00"/>
    <s v="300748.SZ"/>
    <s v="金力永磁"/>
    <n v="0.51290000000000002"/>
    <x v="14"/>
  </r>
  <r>
    <d v="2026-03-02T00:00:00"/>
    <s v="300750.SZ"/>
    <s v="宁德时代"/>
    <n v="16.154900000000001"/>
    <x v="0"/>
  </r>
  <r>
    <d v="2026-03-02T00:00:00"/>
    <s v="300751.SZ"/>
    <s v="迈为股份"/>
    <n v="0.80910000000000004"/>
    <x v="0"/>
  </r>
  <r>
    <d v="2026-03-02T00:00:00"/>
    <s v="300759.SZ"/>
    <s v="康龙化成"/>
    <n v="0.51290000000000002"/>
    <x v="2"/>
  </r>
  <r>
    <d v="2026-03-02T00:00:00"/>
    <s v="300760.SZ"/>
    <s v="迈瑞医疗"/>
    <n v="2.0823999999999998"/>
    <x v="2"/>
  </r>
  <r>
    <d v="2026-03-02T00:00:00"/>
    <s v="300763.SZ"/>
    <s v="锦浪科技"/>
    <n v="0.3422"/>
    <x v="0"/>
  </r>
  <r>
    <d v="2026-03-02T00:00:00"/>
    <s v="300765.SZ"/>
    <s v="新诺威"/>
    <n v="0.2238"/>
    <x v="2"/>
  </r>
  <r>
    <d v="2026-03-02T00:00:00"/>
    <s v="300782.SZ"/>
    <s v="卓胜微"/>
    <n v="0.50739999999999996"/>
    <x v="6"/>
  </r>
  <r>
    <d v="2026-03-02T00:00:00"/>
    <s v="300803.SZ"/>
    <s v="指南针"/>
    <n v="0.79169999999999996"/>
    <x v="4"/>
  </r>
  <r>
    <d v="2026-03-02T00:00:00"/>
    <s v="300832.SZ"/>
    <s v="新产业"/>
    <n v="0.32950000000000002"/>
    <x v="2"/>
  </r>
  <r>
    <d v="2026-03-02T00:00:00"/>
    <s v="300857.SZ"/>
    <s v="协创数据"/>
    <n v="1.103"/>
    <x v="6"/>
  </r>
  <r>
    <d v="2026-03-02T00:00:00"/>
    <s v="300866.SZ"/>
    <s v="安克创新"/>
    <n v="0.38400000000000001"/>
    <x v="6"/>
  </r>
  <r>
    <d v="2026-03-02T00:00:00"/>
    <s v="300888.SZ"/>
    <s v="稳健医疗"/>
    <n v="0.11899999999999999"/>
    <x v="15"/>
  </r>
  <r>
    <d v="2026-03-02T00:00:00"/>
    <s v="300896.SZ"/>
    <s v="爱美客"/>
    <n v="0.36009999999999998"/>
    <x v="15"/>
  </r>
  <r>
    <d v="2026-03-02T00:00:00"/>
    <s v="300919.SZ"/>
    <s v="中伟新材"/>
    <n v="0.44400000000000001"/>
    <x v="0"/>
  </r>
  <r>
    <d v="2026-03-02T00:00:00"/>
    <s v="300957.SZ"/>
    <s v="贝泰妮"/>
    <n v="0.16650000000000001"/>
    <x v="15"/>
  </r>
  <r>
    <d v="2026-03-02T00:00:00"/>
    <s v="300972.SZ"/>
    <s v="万辰集团"/>
    <n v="0.34200000000000003"/>
    <x v="9"/>
  </r>
  <r>
    <d v="2026-03-02T00:00:00"/>
    <s v="300979.SZ"/>
    <s v="华利集团"/>
    <n v="0.1643"/>
    <x v="16"/>
  </r>
  <r>
    <d v="2026-03-02T00:00:00"/>
    <s v="300999.SZ"/>
    <s v="金龙鱼"/>
    <n v="0.30380000000000001"/>
    <x v="13"/>
  </r>
  <r>
    <d v="2026-03-02T00:00:00"/>
    <s v="301165.SZ"/>
    <s v="锐捷网络"/>
    <n v="0.16489999999999999"/>
    <x v="10"/>
  </r>
  <r>
    <d v="2026-03-02T00:00:00"/>
    <s v="301200.SZ"/>
    <s v="大族数控"/>
    <n v="0.18540000000000001"/>
    <x v="17"/>
  </r>
  <r>
    <d v="2026-03-02T00:00:00"/>
    <s v="301236.SZ"/>
    <s v="软通动力"/>
    <n v="0.55840000000000001"/>
    <x v="17"/>
  </r>
  <r>
    <d v="2026-03-02T00:00:00"/>
    <s v="301269.SZ"/>
    <s v="华大九天"/>
    <n v="0.38059999999999999"/>
    <x v="4"/>
  </r>
  <r>
    <d v="2026-03-02T00:00:00"/>
    <s v="301301.SZ"/>
    <s v="川宁生物"/>
    <n v="0.13350000000000001"/>
    <x v="2"/>
  </r>
  <r>
    <d v="2026-03-02T00:00:00"/>
    <s v="301308.SZ"/>
    <s v="江波龙"/>
    <n v="0.86240000000000006"/>
    <x v="6"/>
  </r>
  <r>
    <d v="2026-03-02T00:00:00"/>
    <s v="301358.SZ"/>
    <s v="湖南裕能"/>
    <n v="0.49249999999999999"/>
    <x v="0"/>
  </r>
  <r>
    <d v="2026-03-02T00:00:00"/>
    <s v="301498.SZ"/>
    <s v="乖宝宠物"/>
    <n v="0.10539999999999999"/>
    <x v="13"/>
  </r>
  <r>
    <d v="2026-03-02T00:00:00"/>
    <s v="301536.SZ"/>
    <s v="星宸科技"/>
    <n v="0.2727"/>
    <x v="6"/>
  </r>
  <r>
    <d v="2026-03-02T00:00:00"/>
    <s v="301611.SZ"/>
    <s v="珂玛科技"/>
    <n v="0.33489999999999998"/>
    <x v="6"/>
  </r>
  <r>
    <d v="2026-03-02T00:00:00"/>
    <s v="302132.SZ"/>
    <s v="中航成飞"/>
    <n v="0.40629999999999999"/>
    <x v="11"/>
  </r>
  <r>
    <d v="2025-12-22T00:00:00"/>
    <s v="301611.SZ"/>
    <s v="珂玛科技"/>
    <m/>
    <x v="6"/>
  </r>
  <r>
    <d v="2025-12-22T00:00:00"/>
    <s v="302132.SZ"/>
    <s v="中航成飞"/>
    <n v="0.45810000000000001"/>
    <x v="1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0">
  <r>
    <d v="2026-03-02T00:00:00"/>
    <s v="688008.SH"/>
    <s v="澜起科技"/>
    <n v="7.2439999999999998"/>
    <x v="0"/>
  </r>
  <r>
    <d v="2026-03-02T00:00:00"/>
    <s v="688009.SH"/>
    <s v="中国通号"/>
    <n v="0.69"/>
    <x v="1"/>
  </r>
  <r>
    <d v="2026-03-02T00:00:00"/>
    <s v="688012.SH"/>
    <s v="中微公司"/>
    <n v="5.9779999999999998"/>
    <x v="0"/>
  </r>
  <r>
    <d v="2026-03-02T00:00:00"/>
    <s v="688036.SH"/>
    <s v="传音控股"/>
    <n v="1.5509999999999999"/>
    <x v="0"/>
  </r>
  <r>
    <d v="2026-03-02T00:00:00"/>
    <s v="688041.SH"/>
    <s v="海光信息"/>
    <n v="9.3889999999999993"/>
    <x v="0"/>
  </r>
  <r>
    <d v="2026-03-02T00:00:00"/>
    <s v="688047.SH"/>
    <s v="龙芯中科"/>
    <n v="1.484"/>
    <x v="0"/>
  </r>
  <r>
    <d v="2026-03-02T00:00:00"/>
    <s v="688065.SH"/>
    <s v="凯赛生物"/>
    <n v="0.91900000000000004"/>
    <x v="2"/>
  </r>
  <r>
    <d v="2026-03-02T00:00:00"/>
    <s v="688072.SH"/>
    <s v="拓荆科技"/>
    <n v="2.9049999999999998"/>
    <x v="0"/>
  </r>
  <r>
    <d v="2026-03-02T00:00:00"/>
    <s v="688082.SH"/>
    <s v="盛美上海"/>
    <n v="0.77100000000000002"/>
    <x v="0"/>
  </r>
  <r>
    <d v="2026-03-02T00:00:00"/>
    <s v="688099.SH"/>
    <s v="晶晨股份"/>
    <n v="1.492"/>
    <x v="0"/>
  </r>
  <r>
    <d v="2026-03-02T00:00:00"/>
    <s v="688111.SH"/>
    <s v="金山办公"/>
    <n v="3.2519999999999998"/>
    <x v="3"/>
  </r>
  <r>
    <d v="2026-03-02T00:00:00"/>
    <s v="688114.SH"/>
    <s v="华大智造"/>
    <n v="0.74199999999999999"/>
    <x v="4"/>
  </r>
  <r>
    <d v="2026-03-02T00:00:00"/>
    <s v="688120.SH"/>
    <s v="华海清科"/>
    <n v="2.2370000000000001"/>
    <x v="0"/>
  </r>
  <r>
    <d v="2026-03-02T00:00:00"/>
    <s v="688122.SH"/>
    <s v="西部超导"/>
    <n v="1.9139999999999999"/>
    <x v="5"/>
  </r>
  <r>
    <d v="2026-03-02T00:00:00"/>
    <s v="688126.SH"/>
    <s v="沪硅产业"/>
    <n v="1.9410000000000001"/>
    <x v="0"/>
  </r>
  <r>
    <d v="2026-03-02T00:00:00"/>
    <s v="688169.SH"/>
    <s v="石头科技"/>
    <n v="1.383"/>
    <x v="6"/>
  </r>
  <r>
    <d v="2026-03-02T00:00:00"/>
    <s v="688180.SH"/>
    <s v="君实生物"/>
    <n v="0.85"/>
    <x v="4"/>
  </r>
  <r>
    <d v="2026-03-02T00:00:00"/>
    <s v="688183.SH"/>
    <s v="生益电子"/>
    <n v="1.0029999999999999"/>
    <x v="0"/>
  </r>
  <r>
    <d v="2026-03-02T00:00:00"/>
    <s v="688187.SH"/>
    <s v="时代电气"/>
    <n v="0.72199999999999998"/>
    <x v="1"/>
  </r>
  <r>
    <d v="2026-03-02T00:00:00"/>
    <s v="688188.SH"/>
    <s v="柏楚电子"/>
    <n v="0.81699999999999995"/>
    <x v="3"/>
  </r>
  <r>
    <d v="2026-03-02T00:00:00"/>
    <s v="688213.SH"/>
    <s v="思特威"/>
    <n v="1.2769999999999999"/>
    <x v="0"/>
  </r>
  <r>
    <d v="2026-03-02T00:00:00"/>
    <s v="688220.SH"/>
    <s v="翱捷科技"/>
    <n v="1.1439999999999999"/>
    <x v="0"/>
  </r>
  <r>
    <d v="2026-03-02T00:00:00"/>
    <s v="688223.SH"/>
    <s v="晶科能源"/>
    <n v="1.407"/>
    <x v="7"/>
  </r>
  <r>
    <d v="2026-03-02T00:00:00"/>
    <s v="688234.SH"/>
    <s v="天岳先进"/>
    <n v="0.93500000000000005"/>
    <x v="0"/>
  </r>
  <r>
    <d v="2026-03-02T00:00:00"/>
    <s v="688249.SH"/>
    <s v="晶合集成"/>
    <n v="1.665"/>
    <x v="0"/>
  </r>
  <r>
    <d v="2026-03-02T00:00:00"/>
    <s v="688256.SH"/>
    <s v="寒武纪"/>
    <n v="7.51"/>
    <x v="0"/>
  </r>
  <r>
    <d v="2026-03-02T00:00:00"/>
    <s v="688271.SH"/>
    <s v="联影医疗"/>
    <n v="3.0129999999999999"/>
    <x v="4"/>
  </r>
  <r>
    <d v="2026-03-02T00:00:00"/>
    <s v="688278.SH"/>
    <s v="特宝生物"/>
    <n v="0.57199999999999995"/>
    <x v="4"/>
  </r>
  <r>
    <d v="2026-03-02T00:00:00"/>
    <s v="688297.SH"/>
    <s v="中无人机"/>
    <n v="0.628"/>
    <x v="5"/>
  </r>
  <r>
    <d v="2026-03-02T00:00:00"/>
    <s v="688303.SH"/>
    <s v="大全能源"/>
    <n v="0.71699999999999997"/>
    <x v="7"/>
  </r>
  <r>
    <d v="2026-03-02T00:00:00"/>
    <s v="688349.SH"/>
    <s v="三一重能"/>
    <n v="0.30399999999999999"/>
    <x v="7"/>
  </r>
  <r>
    <d v="2026-03-02T00:00:00"/>
    <s v="688375.SH"/>
    <s v="国博电子"/>
    <n v="1.0249999999999999"/>
    <x v="5"/>
  </r>
  <r>
    <d v="2026-03-02T00:00:00"/>
    <s v="688396.SH"/>
    <s v="华润微"/>
    <n v="1.4139999999999999"/>
    <x v="0"/>
  </r>
  <r>
    <d v="2026-03-02T00:00:00"/>
    <s v="688469.SH"/>
    <s v="芯联集成"/>
    <n v="1.8240000000000001"/>
    <x v="0"/>
  </r>
  <r>
    <d v="2026-03-02T00:00:00"/>
    <s v="688472.SH"/>
    <s v="阿特斯"/>
    <n v="0.999"/>
    <x v="7"/>
  </r>
  <r>
    <d v="2026-03-02T00:00:00"/>
    <s v="688475.SH"/>
    <s v="萤石网络"/>
    <n v="0.217"/>
    <x v="3"/>
  </r>
  <r>
    <d v="2026-03-02T00:00:00"/>
    <s v="688506.SH"/>
    <s v="百利天恒"/>
    <n v="1.0189999999999999"/>
    <x v="4"/>
  </r>
  <r>
    <d v="2026-03-02T00:00:00"/>
    <s v="688521.SH"/>
    <s v="芯原股份"/>
    <n v="4.7649999999999997"/>
    <x v="0"/>
  </r>
  <r>
    <d v="2026-03-02T00:00:00"/>
    <s v="688525.SH"/>
    <s v="佰维存储"/>
    <n v="2.5249999999999999"/>
    <x v="0"/>
  </r>
  <r>
    <d v="2026-03-02T00:00:00"/>
    <s v="688538.SH"/>
    <s v="和辉光电"/>
    <n v="0.67200000000000004"/>
    <x v="0"/>
  </r>
  <r>
    <d v="2026-03-02T00:00:00"/>
    <s v="688578.SH"/>
    <s v="艾力斯"/>
    <n v="1.167"/>
    <x v="4"/>
  </r>
  <r>
    <d v="2026-03-02T00:00:00"/>
    <s v="688599.SH"/>
    <s v="天合光能"/>
    <n v="1.2509999999999999"/>
    <x v="7"/>
  </r>
  <r>
    <d v="2026-03-02T00:00:00"/>
    <s v="688608.SH"/>
    <s v="恒玄科技"/>
    <n v="1.139"/>
    <x v="0"/>
  </r>
  <r>
    <d v="2026-03-02T00:00:00"/>
    <s v="688617.SH"/>
    <s v="惠泰医疗"/>
    <n v="0.97099999999999997"/>
    <x v="4"/>
  </r>
  <r>
    <d v="2026-03-02T00:00:00"/>
    <s v="688702.SH"/>
    <s v="盛科通信"/>
    <n v="1.1299999999999999"/>
    <x v="0"/>
  </r>
  <r>
    <d v="2026-03-02T00:00:00"/>
    <s v="688728.SH"/>
    <s v="格科微"/>
    <n v="0.61399999999999999"/>
    <x v="0"/>
  </r>
  <r>
    <d v="2026-03-02T00:00:00"/>
    <s v="688777.SH"/>
    <s v="中控技术"/>
    <n v="2.367"/>
    <x v="1"/>
  </r>
  <r>
    <d v="2026-03-02T00:00:00"/>
    <s v="688819.SH"/>
    <s v="天能股份"/>
    <n v="0.21299999999999999"/>
    <x v="7"/>
  </r>
  <r>
    <d v="2026-03-02T00:00:00"/>
    <s v="688981.SH"/>
    <s v="中芯国际"/>
    <n v="8.8689999999999998"/>
    <x v="0"/>
  </r>
  <r>
    <d v="2026-03-02T00:00:00"/>
    <s v="689009.SH"/>
    <s v="九号公司"/>
    <n v="1.3620000000000001"/>
    <x v="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302">
  <r>
    <d v="2026-03-02T00:00:00"/>
    <s v="000001.SZ"/>
    <s v="平安银行"/>
    <n v="0.41099999999999998"/>
    <x v="0"/>
  </r>
  <r>
    <d v="2026-03-02T00:00:00"/>
    <s v="000002.SZ"/>
    <s v="万科A"/>
    <n v="0.128"/>
    <x v="1"/>
  </r>
  <r>
    <d v="2026-03-02T00:00:00"/>
    <s v="000063.SZ"/>
    <s v="中兴通讯"/>
    <n v="0.48399999999999999"/>
    <x v="2"/>
  </r>
  <r>
    <d v="2026-03-02T00:00:00"/>
    <s v="000100.SZ"/>
    <s v="TCL科技"/>
    <n v="0.40200000000000002"/>
    <x v="3"/>
  </r>
  <r>
    <d v="2026-03-02T00:00:00"/>
    <s v="000157.SZ"/>
    <s v="中联重科"/>
    <n v="0.193"/>
    <x v="4"/>
  </r>
  <r>
    <d v="2026-03-02T00:00:00"/>
    <s v="000166.SZ"/>
    <s v="申万宏源"/>
    <n v="0.17599999999999999"/>
    <x v="5"/>
  </r>
  <r>
    <d v="2026-03-02T00:00:00"/>
    <s v="000301.SZ"/>
    <s v="东方盛虹"/>
    <n v="0.13400000000000001"/>
    <x v="6"/>
  </r>
  <r>
    <d v="2026-03-02T00:00:00"/>
    <s v="000333.SZ"/>
    <s v="美的集团"/>
    <n v="1.506"/>
    <x v="7"/>
  </r>
  <r>
    <d v="2026-03-02T00:00:00"/>
    <s v="000338.SZ"/>
    <s v="潍柴动力"/>
    <n v="0.58699999999999997"/>
    <x v="8"/>
  </r>
  <r>
    <d v="2026-03-02T00:00:00"/>
    <s v="000408.SZ"/>
    <s v="藏格矿业"/>
    <n v="0.26300000000000001"/>
    <x v="9"/>
  </r>
  <r>
    <d v="2026-03-02T00:00:00"/>
    <s v="000425.SZ"/>
    <s v="徐工机械"/>
    <n v="0.44800000000000001"/>
    <x v="4"/>
  </r>
  <r>
    <d v="2026-03-02T00:00:00"/>
    <s v="000538.SZ"/>
    <s v="云南白药"/>
    <n v="0.19500000000000001"/>
    <x v="10"/>
  </r>
  <r>
    <d v="2026-03-02T00:00:00"/>
    <s v="000568.SZ"/>
    <s v="泸州老窖"/>
    <n v="0.316"/>
    <x v="11"/>
  </r>
  <r>
    <d v="2026-03-02T00:00:00"/>
    <s v="000596.SZ"/>
    <s v="古井贡酒"/>
    <n v="7.6999999999999999E-2"/>
    <x v="11"/>
  </r>
  <r>
    <d v="2026-03-02T00:00:00"/>
    <s v="000617.SZ"/>
    <s v="中油资本"/>
    <n v="8.8999999999999996E-2"/>
    <x v="5"/>
  </r>
  <r>
    <d v="2026-03-02T00:00:00"/>
    <s v="000625.SZ"/>
    <s v="长安汽车"/>
    <n v="0.214"/>
    <x v="8"/>
  </r>
  <r>
    <d v="2026-03-02T00:00:00"/>
    <s v="000630.SZ"/>
    <s v="铜陵有色"/>
    <n v="0.248"/>
    <x v="9"/>
  </r>
  <r>
    <d v="2026-03-02T00:00:00"/>
    <s v="000651.SZ"/>
    <s v="格力电器"/>
    <n v="0.65300000000000002"/>
    <x v="7"/>
  </r>
  <r>
    <d v="2026-03-02T00:00:00"/>
    <s v="000661.SZ"/>
    <s v="长春高新"/>
    <n v="0.122"/>
    <x v="10"/>
  </r>
  <r>
    <d v="2026-03-02T00:00:00"/>
    <s v="000708.SZ"/>
    <s v="中信特钢"/>
    <n v="7.0999999999999994E-2"/>
    <x v="12"/>
  </r>
  <r>
    <d v="2026-03-02T00:00:00"/>
    <s v="000725.SZ"/>
    <s v="京东方A"/>
    <n v="0.64"/>
    <x v="3"/>
  </r>
  <r>
    <d v="2026-03-02T00:00:00"/>
    <s v="000768.SZ"/>
    <s v="中航西飞"/>
    <n v="0.16700000000000001"/>
    <x v="13"/>
  </r>
  <r>
    <d v="2026-03-02T00:00:00"/>
    <s v="000776.SZ"/>
    <s v="广发证券"/>
    <n v="0.23899999999999999"/>
    <x v="5"/>
  </r>
  <r>
    <d v="2026-03-02T00:00:00"/>
    <s v="000786.SZ"/>
    <s v="北新建材"/>
    <n v="0.111"/>
    <x v="14"/>
  </r>
  <r>
    <d v="2026-03-02T00:00:00"/>
    <s v="000792.SZ"/>
    <s v="盐湖股份"/>
    <n v="0.47199999999999998"/>
    <x v="15"/>
  </r>
  <r>
    <d v="2026-03-02T00:00:00"/>
    <s v="000807.SZ"/>
    <s v="云铝股份"/>
    <n v="0.253"/>
    <x v="9"/>
  </r>
  <r>
    <d v="2026-03-02T00:00:00"/>
    <s v="000858.SZ"/>
    <s v="五粮液"/>
    <n v="0.78600000000000003"/>
    <x v="11"/>
  </r>
  <r>
    <d v="2026-03-02T00:00:00"/>
    <s v="000876.SZ"/>
    <s v="新希望"/>
    <n v="7.5999999999999998E-2"/>
    <x v="16"/>
  </r>
  <r>
    <d v="2026-03-02T00:00:00"/>
    <s v="000895.SZ"/>
    <s v="双汇发展"/>
    <n v="0.106"/>
    <x v="11"/>
  </r>
  <r>
    <d v="2026-03-02T00:00:00"/>
    <s v="000938.SZ"/>
    <s v="紫光股份"/>
    <n v="0.20200000000000001"/>
    <x v="17"/>
  </r>
  <r>
    <d v="2026-03-02T00:00:00"/>
    <s v="000963.SZ"/>
    <s v="华东医药"/>
    <n v="0.123"/>
    <x v="10"/>
  </r>
  <r>
    <d v="2026-03-02T00:00:00"/>
    <s v="000975.SZ"/>
    <s v="山金国际"/>
    <n v="0.20100000000000001"/>
    <x v="9"/>
  </r>
  <r>
    <d v="2026-03-02T00:00:00"/>
    <s v="000977.SZ"/>
    <s v="浪潮信息"/>
    <n v="0.255"/>
    <x v="17"/>
  </r>
  <r>
    <d v="2026-03-02T00:00:00"/>
    <s v="000983.SZ"/>
    <s v="山西焦煤"/>
    <n v="8.1000000000000003E-2"/>
    <x v="18"/>
  </r>
  <r>
    <d v="2026-03-02T00:00:00"/>
    <s v="000999.SZ"/>
    <s v="华润三九"/>
    <n v="7.4999999999999997E-2"/>
    <x v="10"/>
  </r>
  <r>
    <d v="2026-03-02T00:00:00"/>
    <s v="001391.SZ"/>
    <s v="国货航"/>
    <n v="2.3E-2"/>
    <x v="19"/>
  </r>
  <r>
    <d v="2026-03-02T00:00:00"/>
    <s v="001965.SZ"/>
    <s v="招商公路"/>
    <n v="7.6999999999999999E-2"/>
    <x v="19"/>
  </r>
  <r>
    <d v="2026-03-02T00:00:00"/>
    <s v="001979.SZ"/>
    <s v="招商蛇口"/>
    <n v="0.13900000000000001"/>
    <x v="1"/>
  </r>
  <r>
    <d v="2026-03-02T00:00:00"/>
    <s v="002001.SZ"/>
    <s v="新和成"/>
    <n v="0.188"/>
    <x v="15"/>
  </r>
  <r>
    <d v="2026-03-02T00:00:00"/>
    <s v="002027.SZ"/>
    <s v="分众传媒"/>
    <n v="0.27800000000000002"/>
    <x v="20"/>
  </r>
  <r>
    <d v="2026-03-02T00:00:00"/>
    <s v="002028.SZ"/>
    <s v="思源电气"/>
    <n v="0.51900000000000002"/>
    <x v="21"/>
  </r>
  <r>
    <d v="2026-03-02T00:00:00"/>
    <s v="002049.SZ"/>
    <s v="紫光国微"/>
    <n v="0.21099999999999999"/>
    <x v="3"/>
  </r>
  <r>
    <d v="2026-03-02T00:00:00"/>
    <s v="002050.SZ"/>
    <s v="三花智控"/>
    <n v="0.44600000000000001"/>
    <x v="7"/>
  </r>
  <r>
    <d v="2026-03-02T00:00:00"/>
    <s v="002074.SZ"/>
    <s v="国轩高科"/>
    <n v="0.16"/>
    <x v="21"/>
  </r>
  <r>
    <d v="2026-03-02T00:00:00"/>
    <s v="002142.SZ"/>
    <s v="宁波银行"/>
    <n v="0.40200000000000002"/>
    <x v="0"/>
  </r>
  <r>
    <d v="2026-03-02T00:00:00"/>
    <s v="002179.SZ"/>
    <s v="中航光电"/>
    <n v="0.17599999999999999"/>
    <x v="13"/>
  </r>
  <r>
    <d v="2026-03-02T00:00:00"/>
    <s v="002230.SZ"/>
    <s v="科大讯飞"/>
    <n v="0.502"/>
    <x v="17"/>
  </r>
  <r>
    <d v="2026-03-02T00:00:00"/>
    <s v="002236.SZ"/>
    <s v="大华股份"/>
    <n v="0.14799999999999999"/>
    <x v="17"/>
  </r>
  <r>
    <d v="2026-03-02T00:00:00"/>
    <s v="002241.SZ"/>
    <s v="歌尔股份"/>
    <n v="0.26200000000000001"/>
    <x v="3"/>
  </r>
  <r>
    <d v="2026-03-02T00:00:00"/>
    <s v="002252.SZ"/>
    <s v="上海莱士"/>
    <n v="0.13"/>
    <x v="10"/>
  </r>
  <r>
    <d v="2026-03-02T00:00:00"/>
    <s v="002304.SZ"/>
    <s v="洋河股份"/>
    <n v="0.125"/>
    <x v="11"/>
  </r>
  <r>
    <d v="2026-03-02T00:00:00"/>
    <s v="002311.SZ"/>
    <s v="海大集团"/>
    <n v="0.17699999999999999"/>
    <x v="16"/>
  </r>
  <r>
    <d v="2026-03-02T00:00:00"/>
    <s v="002352.SZ"/>
    <s v="顺丰控股"/>
    <n v="0.35399999999999998"/>
    <x v="19"/>
  </r>
  <r>
    <d v="2026-03-02T00:00:00"/>
    <s v="002371.SZ"/>
    <s v="北方华创"/>
    <n v="0.79500000000000004"/>
    <x v="3"/>
  </r>
  <r>
    <d v="2026-03-02T00:00:00"/>
    <s v="002384.SZ"/>
    <s v="东山精密"/>
    <n v="0.42699999999999999"/>
    <x v="3"/>
  </r>
  <r>
    <d v="2026-03-02T00:00:00"/>
    <s v="002415.SZ"/>
    <s v="海康威视"/>
    <n v="0.44800000000000001"/>
    <x v="17"/>
  </r>
  <r>
    <d v="2026-03-02T00:00:00"/>
    <s v="002422.SZ"/>
    <s v="科伦药业"/>
    <n v="0.13300000000000001"/>
    <x v="10"/>
  </r>
  <r>
    <d v="2026-03-02T00:00:00"/>
    <s v="002459.SZ"/>
    <s v="晶澳科技"/>
    <n v="9.2999999999999999E-2"/>
    <x v="21"/>
  </r>
  <r>
    <d v="2026-03-02T00:00:00"/>
    <s v="002460.SZ"/>
    <s v="赣锋锂业"/>
    <n v="0.32100000000000001"/>
    <x v="9"/>
  </r>
  <r>
    <d v="2026-03-02T00:00:00"/>
    <s v="002463.SZ"/>
    <s v="沪电股份"/>
    <n v="0.438"/>
    <x v="3"/>
  </r>
  <r>
    <d v="2026-03-02T00:00:00"/>
    <s v="002466.SZ"/>
    <s v="天齐锂业"/>
    <n v="0.22800000000000001"/>
    <x v="9"/>
  </r>
  <r>
    <d v="2026-03-02T00:00:00"/>
    <s v="002475.SZ"/>
    <s v="立讯精密"/>
    <n v="0.996"/>
    <x v="3"/>
  </r>
  <r>
    <d v="2026-03-02T00:00:00"/>
    <s v="002493.SZ"/>
    <s v="荣盛石化"/>
    <n v="0.182"/>
    <x v="6"/>
  </r>
  <r>
    <d v="2026-03-02T00:00:00"/>
    <s v="002594.SZ"/>
    <s v="比亚迪"/>
    <n v="0.94399999999999995"/>
    <x v="8"/>
  </r>
  <r>
    <d v="2026-03-02T00:00:00"/>
    <s v="002600.SZ"/>
    <s v="领益智造"/>
    <n v="0.219"/>
    <x v="3"/>
  </r>
  <r>
    <d v="2026-03-02T00:00:00"/>
    <s v="002601.SZ"/>
    <s v="龙佰集团"/>
    <n v="0.152"/>
    <x v="15"/>
  </r>
  <r>
    <d v="2026-03-02T00:00:00"/>
    <s v="002625.SZ"/>
    <s v="光启技术"/>
    <n v="0.28100000000000003"/>
    <x v="13"/>
  </r>
  <r>
    <d v="2026-03-02T00:00:00"/>
    <s v="002648.SZ"/>
    <s v="卫星化学"/>
    <n v="0.153"/>
    <x v="15"/>
  </r>
  <r>
    <d v="2026-03-02T00:00:00"/>
    <s v="002709.SZ"/>
    <s v="天赐材料"/>
    <n v="0.23400000000000001"/>
    <x v="21"/>
  </r>
  <r>
    <d v="2026-03-02T00:00:00"/>
    <s v="002714.SZ"/>
    <s v="牧原股份"/>
    <n v="0.498"/>
    <x v="16"/>
  </r>
  <r>
    <d v="2026-03-02T00:00:00"/>
    <s v="002736.SZ"/>
    <s v="国信证券"/>
    <n v="0.15"/>
    <x v="5"/>
  </r>
  <r>
    <d v="2026-03-02T00:00:00"/>
    <s v="002916.SZ"/>
    <s v="深南电路"/>
    <n v="0.29599999999999999"/>
    <x v="3"/>
  </r>
  <r>
    <d v="2026-03-02T00:00:00"/>
    <s v="002920.SZ"/>
    <s v="德赛西威"/>
    <n v="0.14399999999999999"/>
    <x v="17"/>
  </r>
  <r>
    <d v="2026-03-02T00:00:00"/>
    <s v="002938.SZ"/>
    <s v="鹏鼎控股"/>
    <n v="0.16"/>
    <x v="3"/>
  </r>
  <r>
    <d v="2026-03-02T00:00:00"/>
    <s v="003816.SZ"/>
    <s v="中国广核"/>
    <n v="0.121"/>
    <x v="22"/>
  </r>
  <r>
    <d v="2026-03-02T00:00:00"/>
    <s v="300014.SZ"/>
    <s v="亿纬锂能"/>
    <n v="0.30199999999999999"/>
    <x v="21"/>
  </r>
  <r>
    <d v="2026-03-02T00:00:00"/>
    <s v="300015.SZ"/>
    <s v="爱尔眼科"/>
    <n v="0.192"/>
    <x v="10"/>
  </r>
  <r>
    <d v="2026-03-02T00:00:00"/>
    <s v="300033.SZ"/>
    <s v="同花顺"/>
    <n v="0.27800000000000002"/>
    <x v="17"/>
  </r>
  <r>
    <d v="2026-03-02T00:00:00"/>
    <s v="300059.SZ"/>
    <s v="东方财富"/>
    <n v="1.1080000000000001"/>
    <x v="5"/>
  </r>
  <r>
    <d v="2026-03-02T00:00:00"/>
    <s v="300122.SZ"/>
    <s v="智飞生物"/>
    <n v="0.08"/>
    <x v="10"/>
  </r>
  <r>
    <d v="2026-03-02T00:00:00"/>
    <s v="300124.SZ"/>
    <s v="汇川技术"/>
    <n v="0.53600000000000003"/>
    <x v="4"/>
  </r>
  <r>
    <d v="2026-03-02T00:00:00"/>
    <s v="300251.SZ"/>
    <s v="光线传媒"/>
    <n v="0.111"/>
    <x v="20"/>
  </r>
  <r>
    <d v="2026-03-02T00:00:00"/>
    <s v="300274.SZ"/>
    <s v="阳光电源"/>
    <n v="0.81599999999999995"/>
    <x v="21"/>
  </r>
  <r>
    <d v="2026-03-02T00:00:00"/>
    <s v="300308.SZ"/>
    <s v="中际旭创"/>
    <n v="2.3079999999999998"/>
    <x v="2"/>
  </r>
  <r>
    <d v="2026-03-02T00:00:00"/>
    <s v="300316.SZ"/>
    <s v="晶盛机电"/>
    <n v="0.14199999999999999"/>
    <x v="21"/>
  </r>
  <r>
    <d v="2026-03-02T00:00:00"/>
    <s v="300347.SZ"/>
    <s v="泰格医药"/>
    <n v="0.12"/>
    <x v="10"/>
  </r>
  <r>
    <d v="2026-03-02T00:00:00"/>
    <s v="300394.SZ"/>
    <s v="天孚通信"/>
    <n v="0.66900000000000004"/>
    <x v="2"/>
  </r>
  <r>
    <d v="2026-03-02T00:00:00"/>
    <s v="300408.SZ"/>
    <s v="三环集团"/>
    <n v="0.32900000000000001"/>
    <x v="3"/>
  </r>
  <r>
    <d v="2026-03-02T00:00:00"/>
    <s v="300413.SZ"/>
    <s v="芒果超媒"/>
    <n v="7.0999999999999994E-2"/>
    <x v="20"/>
  </r>
  <r>
    <d v="2026-03-02T00:00:00"/>
    <s v="300418.SZ"/>
    <s v="昆仑万维"/>
    <n v="0.20899999999999999"/>
    <x v="20"/>
  </r>
  <r>
    <d v="2026-03-02T00:00:00"/>
    <s v="300433.SZ"/>
    <s v="蓝思科技"/>
    <n v="0.27300000000000002"/>
    <x v="23"/>
  </r>
  <r>
    <d v="2026-03-02T00:00:00"/>
    <s v="300442.SZ"/>
    <s v="润泽科技"/>
    <n v="0.32900000000000001"/>
    <x v="23"/>
  </r>
  <r>
    <d v="2026-03-02T00:00:00"/>
    <s v="300476.SZ"/>
    <s v="胜宏科技"/>
    <n v="0.72099999999999997"/>
    <x v="3"/>
  </r>
  <r>
    <d v="2026-03-02T00:00:00"/>
    <s v="300498.SZ"/>
    <s v="温氏股份"/>
    <n v="0.33100000000000002"/>
    <x v="16"/>
  </r>
  <r>
    <d v="2026-03-02T00:00:00"/>
    <s v="300502.SZ"/>
    <s v="新易盛"/>
    <n v="1.391"/>
    <x v="2"/>
  </r>
  <r>
    <d v="2026-03-02T00:00:00"/>
    <s v="300628.SZ"/>
    <s v="亿联网络"/>
    <n v="7.3999999999999996E-2"/>
    <x v="2"/>
  </r>
  <r>
    <d v="2026-03-02T00:00:00"/>
    <s v="300661.SZ"/>
    <s v="圣邦股份"/>
    <n v="0.11600000000000001"/>
    <x v="3"/>
  </r>
  <r>
    <d v="2026-03-02T00:00:00"/>
    <s v="300750.SZ"/>
    <s v="宁德时代"/>
    <n v="3.5179999999999998"/>
    <x v="21"/>
  </r>
  <r>
    <d v="2026-03-02T00:00:00"/>
    <s v="300759.SZ"/>
    <s v="康龙化成"/>
    <n v="0.11899999999999999"/>
    <x v="10"/>
  </r>
  <r>
    <d v="2026-03-02T00:00:00"/>
    <s v="300760.SZ"/>
    <s v="迈瑞医疗"/>
    <n v="0.438"/>
    <x v="10"/>
  </r>
  <r>
    <d v="2026-03-02T00:00:00"/>
    <s v="300782.SZ"/>
    <s v="卓胜微"/>
    <n v="0.11700000000000001"/>
    <x v="3"/>
  </r>
  <r>
    <d v="2026-03-02T00:00:00"/>
    <s v="300803.SZ"/>
    <s v="指南针"/>
    <n v="0.16200000000000001"/>
    <x v="17"/>
  </r>
  <r>
    <d v="2026-03-02T00:00:00"/>
    <s v="300832.SZ"/>
    <s v="新产业"/>
    <n v="0.08"/>
    <x v="10"/>
  </r>
  <r>
    <d v="2026-03-02T00:00:00"/>
    <s v="300866.SZ"/>
    <s v="安克创新"/>
    <n v="8.1000000000000003E-2"/>
    <x v="3"/>
  </r>
  <r>
    <d v="2026-03-02T00:00:00"/>
    <s v="300896.SZ"/>
    <s v="爱美客"/>
    <n v="8.4000000000000005E-2"/>
    <x v="24"/>
  </r>
  <r>
    <d v="2026-03-02T00:00:00"/>
    <s v="300979.SZ"/>
    <s v="华利集团"/>
    <n v="3.2000000000000001E-2"/>
    <x v="25"/>
  </r>
  <r>
    <d v="2026-03-02T00:00:00"/>
    <s v="300999.SZ"/>
    <s v="金龙鱼"/>
    <n v="6.8000000000000005E-2"/>
    <x v="16"/>
  </r>
  <r>
    <d v="2026-03-02T00:00:00"/>
    <s v="301236.SZ"/>
    <s v="软通动力"/>
    <n v="0.128"/>
    <x v="17"/>
  </r>
  <r>
    <d v="2026-03-02T00:00:00"/>
    <s v="301269.SZ"/>
    <s v="华大九天"/>
    <n v="8.5999999999999993E-2"/>
    <x v="17"/>
  </r>
  <r>
    <d v="2026-03-02T00:00:00"/>
    <s v="302132.SZ"/>
    <s v="中航成飞"/>
    <n v="9.0999999999999998E-2"/>
    <x v="13"/>
  </r>
  <r>
    <d v="2026-03-02T00:00:00"/>
    <s v="600000.SH"/>
    <s v="浦发银行"/>
    <n v="0.504"/>
    <x v="0"/>
  </r>
  <r>
    <d v="2026-03-02T00:00:00"/>
    <s v="600009.SH"/>
    <s v="上海机场"/>
    <n v="0.14799999999999999"/>
    <x v="19"/>
  </r>
  <r>
    <d v="2026-03-02T00:00:00"/>
    <s v="600010.SH"/>
    <s v="包钢股份"/>
    <n v="0.28499999999999998"/>
    <x v="12"/>
  </r>
  <r>
    <d v="2026-03-02T00:00:00"/>
    <s v="600011.SH"/>
    <s v="华能国际"/>
    <n v="0.124"/>
    <x v="22"/>
  </r>
  <r>
    <d v="2026-03-02T00:00:00"/>
    <s v="600015.SH"/>
    <s v="华夏银行"/>
    <n v="0.16600000000000001"/>
    <x v="0"/>
  </r>
  <r>
    <d v="2026-03-02T00:00:00"/>
    <s v="600016.SH"/>
    <s v="民生银行"/>
    <n v="0.375"/>
    <x v="0"/>
  </r>
  <r>
    <d v="2026-03-02T00:00:00"/>
    <s v="600018.SH"/>
    <s v="上港集团"/>
    <n v="5.5E-2"/>
    <x v="19"/>
  </r>
  <r>
    <d v="2026-03-02T00:00:00"/>
    <s v="600019.SH"/>
    <s v="宝钢股份"/>
    <n v="0.24399999999999999"/>
    <x v="12"/>
  </r>
  <r>
    <d v="2026-03-02T00:00:00"/>
    <s v="600023.SH"/>
    <s v="浙能电力"/>
    <n v="8.3000000000000004E-2"/>
    <x v="22"/>
  </r>
  <r>
    <d v="2026-03-02T00:00:00"/>
    <s v="600025.SH"/>
    <s v="华能水电"/>
    <n v="6.8000000000000005E-2"/>
    <x v="22"/>
  </r>
  <r>
    <d v="2026-03-02T00:00:00"/>
    <s v="600026.SH"/>
    <s v="中远海能"/>
    <n v="0.13400000000000001"/>
    <x v="19"/>
  </r>
  <r>
    <d v="2026-03-02T00:00:00"/>
    <s v="600027.SH"/>
    <s v="华电国际"/>
    <n v="7.9000000000000001E-2"/>
    <x v="22"/>
  </r>
  <r>
    <d v="2026-03-02T00:00:00"/>
    <s v="600028.SH"/>
    <s v="中国石化"/>
    <n v="0.36599999999999999"/>
    <x v="6"/>
  </r>
  <r>
    <d v="2026-03-02T00:00:00"/>
    <s v="600029.SH"/>
    <s v="南方航空"/>
    <n v="0.154"/>
    <x v="19"/>
  </r>
  <r>
    <d v="2026-03-02T00:00:00"/>
    <s v="600030.SH"/>
    <s v="中信证券"/>
    <n v="1.0389999999999999"/>
    <x v="5"/>
  </r>
  <r>
    <d v="2026-03-02T00:00:00"/>
    <s v="600031.SH"/>
    <s v="三一重工"/>
    <n v="0.53400000000000003"/>
    <x v="4"/>
  </r>
  <r>
    <d v="2026-03-02T00:00:00"/>
    <s v="600036.SH"/>
    <s v="招商银行"/>
    <n v="1.8660000000000001"/>
    <x v="0"/>
  </r>
  <r>
    <d v="2026-03-02T00:00:00"/>
    <s v="600039.SH"/>
    <s v="四川路桥"/>
    <n v="0.10100000000000001"/>
    <x v="26"/>
  </r>
  <r>
    <d v="2026-03-02T00:00:00"/>
    <s v="600048.SH"/>
    <s v="保利发展"/>
    <n v="0.19"/>
    <x v="1"/>
  </r>
  <r>
    <d v="2026-03-02T00:00:00"/>
    <s v="600050.SH"/>
    <s v="中国联通"/>
    <n v="0.29899999999999999"/>
    <x v="2"/>
  </r>
  <r>
    <d v="2026-03-02T00:00:00"/>
    <s v="600061.SH"/>
    <s v="国投资本"/>
    <n v="7.3999999999999996E-2"/>
    <x v="5"/>
  </r>
  <r>
    <d v="2026-03-02T00:00:00"/>
    <s v="600066.SH"/>
    <s v="宇通客车"/>
    <n v="0.153"/>
    <x v="8"/>
  </r>
  <r>
    <d v="2026-03-02T00:00:00"/>
    <s v="600085.SH"/>
    <s v="同仁堂"/>
    <n v="8.2000000000000003E-2"/>
    <x v="10"/>
  </r>
  <r>
    <d v="2026-03-02T00:00:00"/>
    <s v="600089.SH"/>
    <s v="特变电工"/>
    <n v="0.59599999999999997"/>
    <x v="21"/>
  </r>
  <r>
    <d v="2026-03-02T00:00:00"/>
    <s v="600104.SH"/>
    <s v="上汽集团"/>
    <n v="0.25600000000000001"/>
    <x v="8"/>
  </r>
  <r>
    <d v="2026-03-02T00:00:00"/>
    <s v="600111.SH"/>
    <s v="北方稀土"/>
    <n v="0.61399999999999999"/>
    <x v="9"/>
  </r>
  <r>
    <d v="2026-03-02T00:00:00"/>
    <s v="600115.SH"/>
    <s v="中国东航"/>
    <n v="0.19"/>
    <x v="19"/>
  </r>
  <r>
    <d v="2026-03-02T00:00:00"/>
    <s v="600150.SH"/>
    <s v="中国船舶"/>
    <n v="0.66300000000000003"/>
    <x v="13"/>
  </r>
  <r>
    <d v="2026-03-02T00:00:00"/>
    <s v="600160.SH"/>
    <s v="巨化股份"/>
    <n v="0.218"/>
    <x v="15"/>
  </r>
  <r>
    <d v="2026-03-02T00:00:00"/>
    <s v="600161.SH"/>
    <s v="天坛生物"/>
    <n v="6.3E-2"/>
    <x v="10"/>
  </r>
  <r>
    <d v="2026-03-02T00:00:00"/>
    <s v="600176.SH"/>
    <s v="中国巨石"/>
    <n v="0.253"/>
    <x v="14"/>
  </r>
  <r>
    <d v="2026-03-02T00:00:00"/>
    <s v="600183.SH"/>
    <s v="生益科技"/>
    <n v="0.32700000000000001"/>
    <x v="3"/>
  </r>
  <r>
    <d v="2026-03-02T00:00:00"/>
    <s v="600188.SH"/>
    <s v="兖矿能源"/>
    <n v="0.123"/>
    <x v="18"/>
  </r>
  <r>
    <d v="2026-03-02T00:00:00"/>
    <s v="600196.SH"/>
    <s v="复星医药"/>
    <n v="0.13100000000000001"/>
    <x v="10"/>
  </r>
  <r>
    <d v="2026-03-02T00:00:00"/>
    <s v="600219.SH"/>
    <s v="南山铝业"/>
    <n v="0.192"/>
    <x v="9"/>
  </r>
  <r>
    <d v="2026-03-02T00:00:00"/>
    <s v="600233.SH"/>
    <s v="圆通速递"/>
    <n v="0.13100000000000001"/>
    <x v="19"/>
  </r>
  <r>
    <d v="2026-03-02T00:00:00"/>
    <s v="600276.SH"/>
    <s v="恒瑞医药"/>
    <n v="0.98199999999999998"/>
    <x v="10"/>
  </r>
  <r>
    <d v="2026-03-02T00:00:00"/>
    <s v="600309.SH"/>
    <s v="万华化学"/>
    <n v="0.67900000000000005"/>
    <x v="15"/>
  </r>
  <r>
    <d v="2026-03-02T00:00:00"/>
    <s v="600346.SH"/>
    <s v="恒力石化"/>
    <n v="0.21099999999999999"/>
    <x v="6"/>
  </r>
  <r>
    <d v="2026-03-02T00:00:00"/>
    <s v="600362.SH"/>
    <s v="江西铜业"/>
    <n v="0.23400000000000001"/>
    <x v="9"/>
  </r>
  <r>
    <d v="2026-03-02T00:00:00"/>
    <s v="600372.SH"/>
    <s v="中航机载"/>
    <n v="0.152"/>
    <x v="13"/>
  </r>
  <r>
    <d v="2026-03-02T00:00:00"/>
    <s v="600377.SH"/>
    <s v="宁沪高速"/>
    <n v="2.3E-2"/>
    <x v="19"/>
  </r>
  <r>
    <d v="2026-03-02T00:00:00"/>
    <s v="600406.SH"/>
    <s v="国电南瑞"/>
    <n v="0.42599999999999999"/>
    <x v="21"/>
  </r>
  <r>
    <d v="2026-03-02T00:00:00"/>
    <s v="600415.SH"/>
    <s v="小商品城"/>
    <n v="0.158"/>
    <x v="27"/>
  </r>
  <r>
    <d v="2026-03-02T00:00:00"/>
    <s v="600426.SH"/>
    <s v="华鲁恒升"/>
    <n v="0.223"/>
    <x v="15"/>
  </r>
  <r>
    <d v="2026-03-02T00:00:00"/>
    <s v="600436.SH"/>
    <s v="片仔癀"/>
    <n v="0.192"/>
    <x v="10"/>
  </r>
  <r>
    <d v="2026-03-02T00:00:00"/>
    <s v="600438.SH"/>
    <s v="通威股份"/>
    <n v="0.191"/>
    <x v="21"/>
  </r>
  <r>
    <d v="2026-03-02T00:00:00"/>
    <s v="600460.SH"/>
    <s v="士兰微"/>
    <n v="0.14599999999999999"/>
    <x v="3"/>
  </r>
  <r>
    <d v="2026-03-02T00:00:00"/>
    <s v="600482.SH"/>
    <s v="中国动力"/>
    <n v="0.14699999999999999"/>
    <x v="21"/>
  </r>
  <r>
    <d v="2026-03-02T00:00:00"/>
    <s v="600489.SH"/>
    <s v="中金黄金"/>
    <n v="0.36"/>
    <x v="9"/>
  </r>
  <r>
    <d v="2026-03-02T00:00:00"/>
    <s v="600515.SH"/>
    <s v="海南机场"/>
    <n v="9.4E-2"/>
    <x v="1"/>
  </r>
  <r>
    <d v="2026-03-02T00:00:00"/>
    <s v="600519.SH"/>
    <s v="贵州茅台"/>
    <n v="3.544"/>
    <x v="11"/>
  </r>
  <r>
    <d v="2026-03-02T00:00:00"/>
    <s v="600522.SH"/>
    <s v="中天科技"/>
    <n v="0.309"/>
    <x v="2"/>
  </r>
  <r>
    <d v="2026-03-02T00:00:00"/>
    <s v="600547.SH"/>
    <s v="山东黄金"/>
    <n v="0.33300000000000002"/>
    <x v="9"/>
  </r>
  <r>
    <d v="2026-03-02T00:00:00"/>
    <s v="600570.SH"/>
    <s v="恒生电子"/>
    <n v="0.17699999999999999"/>
    <x v="17"/>
  </r>
  <r>
    <d v="2026-03-02T00:00:00"/>
    <s v="600584.SH"/>
    <s v="长电科技"/>
    <n v="0.26800000000000002"/>
    <x v="3"/>
  </r>
  <r>
    <d v="2026-03-02T00:00:00"/>
    <s v="600585.SH"/>
    <s v="海螺水泥"/>
    <n v="0.23899999999999999"/>
    <x v="14"/>
  </r>
  <r>
    <d v="2026-03-02T00:00:00"/>
    <s v="600588.SH"/>
    <s v="用友网络"/>
    <n v="0.113"/>
    <x v="17"/>
  </r>
  <r>
    <d v="2026-03-02T00:00:00"/>
    <s v="600600.SH"/>
    <s v="青岛啤酒"/>
    <n v="8.5999999999999993E-2"/>
    <x v="11"/>
  </r>
  <r>
    <d v="2026-03-02T00:00:00"/>
    <s v="600660.SH"/>
    <s v="福耀玻璃"/>
    <n v="0.376"/>
    <x v="8"/>
  </r>
  <r>
    <d v="2026-03-02T00:00:00"/>
    <s v="600674.SH"/>
    <s v="川投能源"/>
    <n v="0.11"/>
    <x v="22"/>
  </r>
  <r>
    <d v="2026-03-02T00:00:00"/>
    <s v="600690.SH"/>
    <s v="海尔智家"/>
    <n v="0.375"/>
    <x v="7"/>
  </r>
  <r>
    <d v="2026-03-02T00:00:00"/>
    <s v="600741.SH"/>
    <s v="华域汽车"/>
    <n v="0.11899999999999999"/>
    <x v="8"/>
  </r>
  <r>
    <d v="2026-03-02T00:00:00"/>
    <s v="600760.SH"/>
    <s v="中航沈飞"/>
    <n v="0.183"/>
    <x v="13"/>
  </r>
  <r>
    <d v="2026-03-02T00:00:00"/>
    <s v="600795.SH"/>
    <s v="国电电力"/>
    <n v="0.17"/>
    <x v="22"/>
  </r>
  <r>
    <d v="2026-03-02T00:00:00"/>
    <s v="600803.SH"/>
    <s v="新奥股份"/>
    <n v="7.3999999999999996E-2"/>
    <x v="22"/>
  </r>
  <r>
    <d v="2026-03-02T00:00:00"/>
    <s v="600809.SH"/>
    <s v="山西汾酒"/>
    <n v="0.30599999999999999"/>
    <x v="11"/>
  </r>
  <r>
    <d v="2026-03-02T00:00:00"/>
    <s v="600845.SH"/>
    <s v="宝信软件"/>
    <n v="8.1000000000000003E-2"/>
    <x v="17"/>
  </r>
  <r>
    <d v="2026-03-02T00:00:00"/>
    <s v="600875.SH"/>
    <s v="东方电气"/>
    <n v="0.17599999999999999"/>
    <x v="21"/>
  </r>
  <r>
    <d v="2026-03-02T00:00:00"/>
    <s v="600886.SH"/>
    <s v="国投电力"/>
    <n v="0.124"/>
    <x v="22"/>
  </r>
  <r>
    <d v="2026-03-02T00:00:00"/>
    <s v="600887.SH"/>
    <s v="伊利股份"/>
    <n v="0.64200000000000002"/>
    <x v="11"/>
  </r>
  <r>
    <d v="2026-03-02T00:00:00"/>
    <s v="600893.SH"/>
    <s v="航发动力"/>
    <n v="0.29599999999999999"/>
    <x v="13"/>
  </r>
  <r>
    <d v="2026-03-02T00:00:00"/>
    <s v="600900.SH"/>
    <s v="长江电力"/>
    <n v="1.2390000000000001"/>
    <x v="22"/>
  </r>
  <r>
    <d v="2026-03-02T00:00:00"/>
    <s v="600905.SH"/>
    <s v="三峡能源"/>
    <n v="0.23100000000000001"/>
    <x v="22"/>
  </r>
  <r>
    <d v="2026-03-02T00:00:00"/>
    <s v="600918.SH"/>
    <s v="中泰证券"/>
    <n v="7.9000000000000001E-2"/>
    <x v="5"/>
  </r>
  <r>
    <d v="2026-03-02T00:00:00"/>
    <s v="600919.SH"/>
    <s v="江苏银行"/>
    <n v="0.59099999999999997"/>
    <x v="0"/>
  </r>
  <r>
    <d v="2026-03-02T00:00:00"/>
    <s v="600926.SH"/>
    <s v="杭州银行"/>
    <n v="0.32100000000000001"/>
    <x v="0"/>
  </r>
  <r>
    <d v="2026-03-02T00:00:00"/>
    <s v="600930.SH"/>
    <s v="华电新能"/>
    <n v="6.8000000000000005E-2"/>
    <x v="22"/>
  </r>
  <r>
    <d v="2026-03-02T00:00:00"/>
    <s v="600938.SH"/>
    <s v="中国海油"/>
    <n v="0.33400000000000002"/>
    <x v="6"/>
  </r>
  <r>
    <d v="2026-03-02T00:00:00"/>
    <s v="600941.SH"/>
    <s v="中国移动"/>
    <n v="0.33100000000000002"/>
    <x v="2"/>
  </r>
  <r>
    <d v="2026-03-02T00:00:00"/>
    <s v="600958.SH"/>
    <s v="东方证券"/>
    <n v="0.20599999999999999"/>
    <x v="5"/>
  </r>
  <r>
    <d v="2026-03-02T00:00:00"/>
    <s v="600989.SH"/>
    <s v="宝丰能源"/>
    <n v="0.20499999999999999"/>
    <x v="15"/>
  </r>
  <r>
    <d v="2026-03-02T00:00:00"/>
    <s v="600999.SH"/>
    <s v="招商证券"/>
    <n v="0.24"/>
    <x v="5"/>
  </r>
  <r>
    <d v="2026-03-02T00:00:00"/>
    <s v="601006.SH"/>
    <s v="大秦铁路"/>
    <n v="0.24"/>
    <x v="19"/>
  </r>
  <r>
    <d v="2026-03-02T00:00:00"/>
    <s v="601009.SH"/>
    <s v="南京银行"/>
    <n v="0.27100000000000002"/>
    <x v="0"/>
  </r>
  <r>
    <d v="2026-03-02T00:00:00"/>
    <s v="601012.SH"/>
    <s v="隆基绿能"/>
    <n v="0.432"/>
    <x v="21"/>
  </r>
  <r>
    <d v="2026-03-02T00:00:00"/>
    <s v="601018.SH"/>
    <s v="宁波港"/>
    <n v="6.5000000000000002E-2"/>
    <x v="19"/>
  </r>
  <r>
    <d v="2026-03-02T00:00:00"/>
    <s v="601021.SH"/>
    <s v="春秋航空"/>
    <n v="0.105"/>
    <x v="19"/>
  </r>
  <r>
    <d v="2026-03-02T00:00:00"/>
    <s v="601058.SH"/>
    <s v="赛轮轮胎"/>
    <n v="0.161"/>
    <x v="8"/>
  </r>
  <r>
    <d v="2026-03-02T00:00:00"/>
    <s v="601059.SH"/>
    <s v="信达证券"/>
    <n v="6.7000000000000004E-2"/>
    <x v="5"/>
  </r>
  <r>
    <d v="2026-03-02T00:00:00"/>
    <s v="601066.SH"/>
    <s v="中信建投"/>
    <n v="0.121"/>
    <x v="5"/>
  </r>
  <r>
    <d v="2026-03-02T00:00:00"/>
    <s v="601077.SH"/>
    <s v="渝农商行"/>
    <n v="0.13400000000000001"/>
    <x v="0"/>
  </r>
  <r>
    <d v="2026-03-02T00:00:00"/>
    <s v="601088.SH"/>
    <s v="中国神华"/>
    <n v="0.54200000000000004"/>
    <x v="18"/>
  </r>
  <r>
    <d v="2026-03-02T00:00:00"/>
    <s v="601100.SH"/>
    <s v="恒立液压"/>
    <n v="0.23499999999999999"/>
    <x v="4"/>
  </r>
  <r>
    <d v="2026-03-02T00:00:00"/>
    <s v="601111.SH"/>
    <s v="中国国航"/>
    <n v="0.123"/>
    <x v="19"/>
  </r>
  <r>
    <d v="2026-03-02T00:00:00"/>
    <s v="601117.SH"/>
    <s v="中国化学"/>
    <n v="0.13300000000000001"/>
    <x v="26"/>
  </r>
  <r>
    <d v="2026-03-02T00:00:00"/>
    <s v="601127.SH"/>
    <s v="赛力斯"/>
    <n v="0.34100000000000003"/>
    <x v="8"/>
  </r>
  <r>
    <d v="2026-03-02T00:00:00"/>
    <s v="601136.SH"/>
    <s v="首创证券"/>
    <n v="3.9E-2"/>
    <x v="5"/>
  </r>
  <r>
    <d v="2026-03-02T00:00:00"/>
    <s v="601138.SH"/>
    <s v="工业富联"/>
    <n v="0.86099999999999999"/>
    <x v="3"/>
  </r>
  <r>
    <d v="2026-03-02T00:00:00"/>
    <s v="601166.SH"/>
    <s v="兴业银行"/>
    <n v="1.206"/>
    <x v="0"/>
  </r>
  <r>
    <d v="2026-03-02T00:00:00"/>
    <s v="601169.SH"/>
    <s v="北京银行"/>
    <n v="0.31"/>
    <x v="0"/>
  </r>
  <r>
    <d v="2026-03-02T00:00:00"/>
    <s v="601186.SH"/>
    <s v="中国铁建"/>
    <n v="0.13200000000000001"/>
    <x v="26"/>
  </r>
  <r>
    <d v="2026-03-02T00:00:00"/>
    <s v="601211.SH"/>
    <s v="国泰海通"/>
    <n v="0.83199999999999996"/>
    <x v="5"/>
  </r>
  <r>
    <d v="2026-03-02T00:00:00"/>
    <s v="601225.SH"/>
    <s v="陕西煤业"/>
    <n v="0.35799999999999998"/>
    <x v="18"/>
  </r>
  <r>
    <d v="2026-03-02T00:00:00"/>
    <s v="601229.SH"/>
    <s v="上海银行"/>
    <n v="0.375"/>
    <x v="0"/>
  </r>
  <r>
    <d v="2026-03-02T00:00:00"/>
    <s v="601236.SH"/>
    <s v="红塔证券"/>
    <n v="4.4999999999999998E-2"/>
    <x v="5"/>
  </r>
  <r>
    <d v="2026-03-02T00:00:00"/>
    <s v="601238.SH"/>
    <s v="广汽集团"/>
    <n v="6.9000000000000006E-2"/>
    <x v="8"/>
  </r>
  <r>
    <d v="2026-03-02T00:00:00"/>
    <s v="601288.SH"/>
    <s v="农业银行"/>
    <n v="0.71499999999999997"/>
    <x v="0"/>
  </r>
  <r>
    <d v="2026-03-02T00:00:00"/>
    <s v="601298.SH"/>
    <s v="青岛港"/>
    <n v="2.5000000000000001E-2"/>
    <x v="19"/>
  </r>
  <r>
    <d v="2026-03-02T00:00:00"/>
    <s v="601318.SH"/>
    <s v="中国平安"/>
    <n v="2.6160000000000001"/>
    <x v="5"/>
  </r>
  <r>
    <d v="2026-03-02T00:00:00"/>
    <s v="601319.SH"/>
    <s v="中国人保"/>
    <n v="0.107"/>
    <x v="5"/>
  </r>
  <r>
    <d v="2026-03-02T00:00:00"/>
    <s v="601328.SH"/>
    <s v="交通银行"/>
    <n v="0.68"/>
    <x v="0"/>
  </r>
  <r>
    <d v="2026-03-02T00:00:00"/>
    <s v="601336.SH"/>
    <s v="新华保险"/>
    <n v="0.245"/>
    <x v="5"/>
  </r>
  <r>
    <d v="2026-03-02T00:00:00"/>
    <s v="601360.SH"/>
    <s v="三六零"/>
    <n v="0.16900000000000001"/>
    <x v="17"/>
  </r>
  <r>
    <d v="2026-03-02T00:00:00"/>
    <s v="601377.SH"/>
    <s v="兴业证券"/>
    <n v="0.18099999999999999"/>
    <x v="5"/>
  </r>
  <r>
    <d v="2026-03-02T00:00:00"/>
    <s v="601390.SH"/>
    <s v="中国中铁"/>
    <n v="0.251"/>
    <x v="26"/>
  </r>
  <r>
    <d v="2026-03-02T00:00:00"/>
    <s v="601398.SH"/>
    <s v="工商银行"/>
    <n v="0.871"/>
    <x v="0"/>
  </r>
  <r>
    <d v="2026-03-02T00:00:00"/>
    <s v="601456.SH"/>
    <s v="国联民生"/>
    <n v="0.06"/>
    <x v="5"/>
  </r>
  <r>
    <d v="2026-03-02T00:00:00"/>
    <s v="601600.SH"/>
    <s v="中国铝业"/>
    <n v="0.42299999999999999"/>
    <x v="9"/>
  </r>
  <r>
    <d v="2026-03-02T00:00:00"/>
    <s v="601601.SH"/>
    <s v="中国太保"/>
    <n v="0.54300000000000004"/>
    <x v="5"/>
  </r>
  <r>
    <d v="2026-03-02T00:00:00"/>
    <s v="601607.SH"/>
    <s v="上海医药"/>
    <n v="7.4999999999999997E-2"/>
    <x v="10"/>
  </r>
  <r>
    <d v="2026-03-02T00:00:00"/>
    <s v="601618.SH"/>
    <s v="中国中冶"/>
    <n v="8.8999999999999996E-2"/>
    <x v="26"/>
  </r>
  <r>
    <d v="2026-03-02T00:00:00"/>
    <s v="601628.SH"/>
    <s v="中国人寿"/>
    <n v="0.28799999999999998"/>
    <x v="5"/>
  </r>
  <r>
    <d v="2026-03-02T00:00:00"/>
    <s v="601633.SH"/>
    <s v="长城汽车"/>
    <n v="0.1"/>
    <x v="8"/>
  </r>
  <r>
    <d v="2026-03-02T00:00:00"/>
    <s v="601658.SH"/>
    <s v="邮储银行"/>
    <n v="0.21299999999999999"/>
    <x v="0"/>
  </r>
  <r>
    <d v="2026-03-02T00:00:00"/>
    <s v="601668.SH"/>
    <s v="中国建筑"/>
    <n v="0.40500000000000003"/>
    <x v="26"/>
  </r>
  <r>
    <d v="2026-03-02T00:00:00"/>
    <s v="601669.SH"/>
    <s v="中国电建"/>
    <n v="0.192"/>
    <x v="26"/>
  </r>
  <r>
    <d v="2026-03-02T00:00:00"/>
    <s v="601688.SH"/>
    <s v="华泰证券"/>
    <n v="0.48599999999999999"/>
    <x v="5"/>
  </r>
  <r>
    <d v="2026-03-02T00:00:00"/>
    <s v="601689.SH"/>
    <s v="拓普集团"/>
    <n v="0.22900000000000001"/>
    <x v="8"/>
  </r>
  <r>
    <d v="2026-03-02T00:00:00"/>
    <s v="601698.SH"/>
    <s v="中国卫通"/>
    <n v="0.123"/>
    <x v="13"/>
  </r>
  <r>
    <d v="2026-03-02T00:00:00"/>
    <s v="601728.SH"/>
    <s v="中国电信"/>
    <n v="0.35"/>
    <x v="2"/>
  </r>
  <r>
    <d v="2026-03-02T00:00:00"/>
    <s v="601766.SH"/>
    <s v="中国中车"/>
    <n v="0.29799999999999999"/>
    <x v="4"/>
  </r>
  <r>
    <d v="2026-03-02T00:00:00"/>
    <s v="601788.SH"/>
    <s v="光大证券"/>
    <n v="0.126"/>
    <x v="5"/>
  </r>
  <r>
    <d v="2026-03-02T00:00:00"/>
    <s v="601800.SH"/>
    <s v="中国交建"/>
    <n v="0.113"/>
    <x v="26"/>
  </r>
  <r>
    <d v="2026-03-02T00:00:00"/>
    <s v="601808.SH"/>
    <s v="中海油服"/>
    <n v="3.9E-2"/>
    <x v="6"/>
  </r>
  <r>
    <d v="2026-03-02T00:00:00"/>
    <s v="601816.SH"/>
    <s v="京沪高铁"/>
    <n v="0.56499999999999995"/>
    <x v="19"/>
  </r>
  <r>
    <d v="2026-03-02T00:00:00"/>
    <s v="601818.SH"/>
    <s v="光大银行"/>
    <n v="0.23400000000000001"/>
    <x v="0"/>
  </r>
  <r>
    <d v="2026-03-02T00:00:00"/>
    <s v="601825.SH"/>
    <s v="沪农商行"/>
    <n v="0.189"/>
    <x v="0"/>
  </r>
  <r>
    <d v="2026-03-02T00:00:00"/>
    <s v="601838.SH"/>
    <s v="成都银行"/>
    <n v="0.16"/>
    <x v="0"/>
  </r>
  <r>
    <d v="2026-03-02T00:00:00"/>
    <s v="601857.SH"/>
    <s v="中国石油"/>
    <n v="0.47899999999999998"/>
    <x v="6"/>
  </r>
  <r>
    <d v="2026-03-02T00:00:00"/>
    <s v="601868.SH"/>
    <s v="中国能建"/>
    <n v="0.128"/>
    <x v="26"/>
  </r>
  <r>
    <d v="2026-03-02T00:00:00"/>
    <s v="601872.SH"/>
    <s v="招商轮船"/>
    <n v="0.20399999999999999"/>
    <x v="19"/>
  </r>
  <r>
    <d v="2026-03-02T00:00:00"/>
    <s v="601877.SH"/>
    <s v="正泰电器"/>
    <n v="0.13800000000000001"/>
    <x v="21"/>
  </r>
  <r>
    <d v="2026-03-02T00:00:00"/>
    <s v="601878.SH"/>
    <s v="浙商证券"/>
    <n v="0.114"/>
    <x v="5"/>
  </r>
  <r>
    <d v="2026-03-02T00:00:00"/>
    <s v="601881.SH"/>
    <s v="中国银河"/>
    <n v="0.123"/>
    <x v="5"/>
  </r>
  <r>
    <d v="2026-03-02T00:00:00"/>
    <s v="601888.SH"/>
    <s v="中国中免"/>
    <n v="0.30599999999999999"/>
    <x v="27"/>
  </r>
  <r>
    <d v="2026-03-02T00:00:00"/>
    <s v="601898.SH"/>
    <s v="中煤能源"/>
    <n v="0.108"/>
    <x v="18"/>
  </r>
  <r>
    <d v="2026-03-02T00:00:00"/>
    <s v="601899.SH"/>
    <s v="紫金矿业"/>
    <n v="2.5339999999999998"/>
    <x v="9"/>
  </r>
  <r>
    <d v="2026-03-02T00:00:00"/>
    <s v="601901.SH"/>
    <s v="方正证券"/>
    <n v="0.123"/>
    <x v="5"/>
  </r>
  <r>
    <d v="2026-03-02T00:00:00"/>
    <s v="601916.SH"/>
    <s v="浙商银行"/>
    <n v="0.17499999999999999"/>
    <x v="0"/>
  </r>
  <r>
    <d v="2026-03-02T00:00:00"/>
    <s v="601919.SH"/>
    <s v="中远海控"/>
    <n v="0.36799999999999999"/>
    <x v="19"/>
  </r>
  <r>
    <d v="2026-03-02T00:00:00"/>
    <s v="601939.SH"/>
    <s v="建设银行"/>
    <n v="0.28299999999999997"/>
    <x v="0"/>
  </r>
  <r>
    <d v="2026-03-02T00:00:00"/>
    <s v="601985.SH"/>
    <s v="中国核电"/>
    <n v="0.27300000000000002"/>
    <x v="22"/>
  </r>
  <r>
    <d v="2026-03-02T00:00:00"/>
    <s v="601988.SH"/>
    <s v="中国银行"/>
    <n v="0.29399999999999998"/>
    <x v="0"/>
  </r>
  <r>
    <d v="2026-03-02T00:00:00"/>
    <s v="601995.SH"/>
    <s v="中金公司"/>
    <n v="0.158"/>
    <x v="5"/>
  </r>
  <r>
    <d v="2026-03-02T00:00:00"/>
    <s v="601998.SH"/>
    <s v="中信银行"/>
    <n v="0.14799999999999999"/>
    <x v="0"/>
  </r>
  <r>
    <d v="2026-03-02T00:00:00"/>
    <s v="603019.SH"/>
    <s v="中科曙光"/>
    <n v="0.52500000000000002"/>
    <x v="17"/>
  </r>
  <r>
    <d v="2026-03-02T00:00:00"/>
    <s v="603195.SH"/>
    <s v="公牛集团"/>
    <n v="4.5999999999999999E-2"/>
    <x v="28"/>
  </r>
  <r>
    <d v="2026-03-02T00:00:00"/>
    <s v="603259.SH"/>
    <s v="药明康德"/>
    <n v="0.94299999999999995"/>
    <x v="10"/>
  </r>
  <r>
    <d v="2026-03-02T00:00:00"/>
    <s v="603260.SH"/>
    <s v="合盛硅业"/>
    <n v="7.0999999999999994E-2"/>
    <x v="15"/>
  </r>
  <r>
    <d v="2026-03-02T00:00:00"/>
    <s v="603288.SH"/>
    <s v="海天味业"/>
    <n v="0.23300000000000001"/>
    <x v="11"/>
  </r>
  <r>
    <d v="2026-03-02T00:00:00"/>
    <s v="603296.SH"/>
    <s v="华勤技术"/>
    <n v="0.14599999999999999"/>
    <x v="3"/>
  </r>
  <r>
    <d v="2026-03-02T00:00:00"/>
    <s v="603369.SH"/>
    <s v="今世缘"/>
    <n v="9.0999999999999998E-2"/>
    <x v="11"/>
  </r>
  <r>
    <d v="2026-03-02T00:00:00"/>
    <s v="603392.SH"/>
    <s v="万泰生物"/>
    <n v="6.0999999999999999E-2"/>
    <x v="10"/>
  </r>
  <r>
    <d v="2026-03-02T00:00:00"/>
    <s v="603501.SH"/>
    <s v="豪威集团"/>
    <n v="0.40500000000000003"/>
    <x v="3"/>
  </r>
  <r>
    <d v="2026-03-02T00:00:00"/>
    <s v="603799.SH"/>
    <s v="华友钴业"/>
    <n v="0.46400000000000002"/>
    <x v="9"/>
  </r>
  <r>
    <d v="2026-03-02T00:00:00"/>
    <s v="603893.SH"/>
    <s v="瑞芯微"/>
    <n v="0.14699999999999999"/>
    <x v="3"/>
  </r>
  <r>
    <d v="2026-03-02T00:00:00"/>
    <s v="603986.SH"/>
    <s v="兆易创新"/>
    <n v="0.77900000000000003"/>
    <x v="3"/>
  </r>
  <r>
    <d v="2026-03-02T00:00:00"/>
    <s v="603993.SH"/>
    <s v="洛阳钼业"/>
    <n v="0.81499999999999995"/>
    <x v="9"/>
  </r>
  <r>
    <d v="2026-03-02T00:00:00"/>
    <s v="605117.SH"/>
    <s v="德业股份"/>
    <n v="0.14799999999999999"/>
    <x v="21"/>
  </r>
  <r>
    <d v="2026-03-02T00:00:00"/>
    <s v="605499.SH"/>
    <s v="东鹏饮料"/>
    <n v="0.19500000000000001"/>
    <x v="11"/>
  </r>
  <r>
    <d v="2026-03-02T00:00:00"/>
    <s v="688008.SH"/>
    <s v="澜起科技"/>
    <n v="0.72899999999999998"/>
    <x v="3"/>
  </r>
  <r>
    <d v="2026-03-02T00:00:00"/>
    <s v="688009.SH"/>
    <s v="中国通号"/>
    <n v="5.8000000000000003E-2"/>
    <x v="4"/>
  </r>
  <r>
    <d v="2026-03-02T00:00:00"/>
    <s v="688012.SH"/>
    <s v="中微公司"/>
    <n v="0.60099999999999998"/>
    <x v="3"/>
  </r>
  <r>
    <d v="2026-03-02T00:00:00"/>
    <s v="688036.SH"/>
    <s v="传音控股"/>
    <n v="0.129"/>
    <x v="3"/>
  </r>
  <r>
    <d v="2026-03-02T00:00:00"/>
    <s v="688041.SH"/>
    <s v="海光信息"/>
    <n v="0.94399999999999995"/>
    <x v="3"/>
  </r>
  <r>
    <d v="2026-03-02T00:00:00"/>
    <s v="688047.SH"/>
    <s v="龙芯中科"/>
    <n v="0.124"/>
    <x v="3"/>
  </r>
  <r>
    <d v="2026-03-02T00:00:00"/>
    <s v="688082.SH"/>
    <s v="盛美上海"/>
    <n v="6.4000000000000001E-2"/>
    <x v="3"/>
  </r>
  <r>
    <d v="2026-03-02T00:00:00"/>
    <s v="688111.SH"/>
    <s v="金山办公"/>
    <n v="0.27100000000000002"/>
    <x v="17"/>
  </r>
  <r>
    <d v="2026-03-02T00:00:00"/>
    <s v="688126.SH"/>
    <s v="沪硅产业"/>
    <n v="0.16200000000000001"/>
    <x v="3"/>
  </r>
  <r>
    <d v="2026-03-02T00:00:00"/>
    <s v="688169.SH"/>
    <s v="石头科技"/>
    <n v="0.115"/>
    <x v="7"/>
  </r>
  <r>
    <d v="2026-03-02T00:00:00"/>
    <s v="688187.SH"/>
    <s v="时代电气"/>
    <n v="0.06"/>
    <x v="4"/>
  </r>
  <r>
    <d v="2026-03-02T00:00:00"/>
    <s v="688223.SH"/>
    <s v="晶科能源"/>
    <n v="0.11700000000000001"/>
    <x v="21"/>
  </r>
  <r>
    <d v="2026-03-02T00:00:00"/>
    <s v="688256.SH"/>
    <s v="寒武纪"/>
    <n v="0.96599999999999997"/>
    <x v="3"/>
  </r>
  <r>
    <d v="2026-03-02T00:00:00"/>
    <s v="688271.SH"/>
    <s v="联影医疗"/>
    <n v="0.251"/>
    <x v="10"/>
  </r>
  <r>
    <d v="2026-03-02T00:00:00"/>
    <s v="688303.SH"/>
    <s v="大全能源"/>
    <n v="0.06"/>
    <x v="21"/>
  </r>
  <r>
    <d v="2026-03-02T00:00:00"/>
    <s v="688396.SH"/>
    <s v="华润微"/>
    <n v="0.11799999999999999"/>
    <x v="3"/>
  </r>
  <r>
    <d v="2026-03-02T00:00:00"/>
    <s v="688472.SH"/>
    <s v="阿特斯"/>
    <n v="8.3000000000000004E-2"/>
    <x v="21"/>
  </r>
  <r>
    <d v="2026-03-02T00:00:00"/>
    <s v="688506.SH"/>
    <s v="百利天恒"/>
    <n v="8.5000000000000006E-2"/>
    <x v="10"/>
  </r>
  <r>
    <d v="2026-03-02T00:00:00"/>
    <s v="688981.SH"/>
    <s v="中芯国际"/>
    <n v="0.89400000000000002"/>
    <x v="3"/>
  </r>
  <r>
    <d v="2025-12-22T00:00:00"/>
    <s v="688506.SH"/>
    <s v="百利天恒"/>
    <n v="0.126"/>
    <x v="10"/>
  </r>
  <r>
    <d v="2025-12-22T00:00:00"/>
    <s v="688981.SH"/>
    <s v="中芯国际"/>
    <n v="0.93700000000000006"/>
    <x v="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502">
  <r>
    <d v="2026-03-02T00:00:00"/>
    <s v="000009.SZ"/>
    <s v="中国宝安"/>
    <n v="0.158"/>
    <x v="0"/>
  </r>
  <r>
    <d v="2026-03-02T00:00:00"/>
    <s v="000021.SZ"/>
    <s v="深科技"/>
    <n v="0.34499999999999997"/>
    <x v="1"/>
  </r>
  <r>
    <d v="2026-03-02T00:00:00"/>
    <s v="000027.SZ"/>
    <s v="深圳能源"/>
    <n v="9.1999999999999998E-2"/>
    <x v="2"/>
  </r>
  <r>
    <d v="2026-03-02T00:00:00"/>
    <s v="000032.SZ"/>
    <s v="深桑达A"/>
    <n v="0.115"/>
    <x v="3"/>
  </r>
  <r>
    <d v="2026-03-02T00:00:00"/>
    <s v="000034.SZ"/>
    <s v="神州数码"/>
    <n v="0.21199999999999999"/>
    <x v="4"/>
  </r>
  <r>
    <d v="2026-03-02T00:00:00"/>
    <s v="000039.SZ"/>
    <s v="中集集团"/>
    <n v="0.22800000000000001"/>
    <x v="5"/>
  </r>
  <r>
    <d v="2026-03-02T00:00:00"/>
    <s v="000050.SZ"/>
    <s v="深天马A"/>
    <n v="0.13700000000000001"/>
    <x v="1"/>
  </r>
  <r>
    <d v="2026-03-02T00:00:00"/>
    <s v="000060.SZ"/>
    <s v="中金岭南"/>
    <n v="0.23599999999999999"/>
    <x v="6"/>
  </r>
  <r>
    <d v="2026-03-02T00:00:00"/>
    <s v="000062.SZ"/>
    <s v="深圳华强"/>
    <n v="9.7000000000000003E-2"/>
    <x v="1"/>
  </r>
  <r>
    <d v="2026-03-02T00:00:00"/>
    <s v="000088.SZ"/>
    <s v="盐田港"/>
    <n v="0.09"/>
    <x v="7"/>
  </r>
  <r>
    <d v="2026-03-02T00:00:00"/>
    <s v="000155.SZ"/>
    <s v="川能动力"/>
    <n v="0.17100000000000001"/>
    <x v="2"/>
  </r>
  <r>
    <d v="2026-03-02T00:00:00"/>
    <s v="000400.SZ"/>
    <s v="许继电气"/>
    <n v="0.20899999999999999"/>
    <x v="0"/>
  </r>
  <r>
    <d v="2026-03-02T00:00:00"/>
    <s v="000415.SZ"/>
    <s v="渤海租赁"/>
    <n v="0.17899999999999999"/>
    <x v="8"/>
  </r>
  <r>
    <d v="2026-03-02T00:00:00"/>
    <s v="000423.SZ"/>
    <s v="东阿阿胶"/>
    <n v="0.22500000000000001"/>
    <x v="9"/>
  </r>
  <r>
    <d v="2026-03-02T00:00:00"/>
    <s v="000426.SZ"/>
    <s v="兴业银锡"/>
    <n v="0.71899999999999997"/>
    <x v="6"/>
  </r>
  <r>
    <d v="2026-03-02T00:00:00"/>
    <s v="000429.SZ"/>
    <s v="粤高速A"/>
    <n v="5.8999999999999997E-2"/>
    <x v="7"/>
  </r>
  <r>
    <d v="2026-03-02T00:00:00"/>
    <s v="000513.SZ"/>
    <s v="丽珠集团"/>
    <n v="0.11799999999999999"/>
    <x v="9"/>
  </r>
  <r>
    <d v="2026-03-02T00:00:00"/>
    <s v="000519.SZ"/>
    <s v="中兵红箭"/>
    <n v="0.155"/>
    <x v="10"/>
  </r>
  <r>
    <d v="2026-03-02T00:00:00"/>
    <s v="000528.SZ"/>
    <s v="柳工"/>
    <n v="0.17799999999999999"/>
    <x v="5"/>
  </r>
  <r>
    <d v="2026-03-02T00:00:00"/>
    <s v="000537.SZ"/>
    <s v="绿发电力"/>
    <n v="6.8000000000000005E-2"/>
    <x v="2"/>
  </r>
  <r>
    <d v="2026-03-02T00:00:00"/>
    <s v="000539.SZ"/>
    <s v="粤电力A"/>
    <n v="4.2000000000000003E-2"/>
    <x v="2"/>
  </r>
  <r>
    <d v="2026-03-02T00:00:00"/>
    <s v="000559.SZ"/>
    <s v="万向钱潮"/>
    <n v="0.24399999999999999"/>
    <x v="11"/>
  </r>
  <r>
    <d v="2026-03-02T00:00:00"/>
    <s v="000563.SZ"/>
    <s v="陕国投A"/>
    <n v="0.10199999999999999"/>
    <x v="8"/>
  </r>
  <r>
    <d v="2026-03-02T00:00:00"/>
    <s v="000582.SZ"/>
    <s v="北部湾港"/>
    <n v="9.9000000000000005E-2"/>
    <x v="7"/>
  </r>
  <r>
    <d v="2026-03-02T00:00:00"/>
    <s v="000591.SZ"/>
    <s v="太阳能"/>
    <n v="0.14699999999999999"/>
    <x v="2"/>
  </r>
  <r>
    <d v="2026-03-02T00:00:00"/>
    <s v="000598.SZ"/>
    <s v="兴蓉环境"/>
    <n v="0.10100000000000001"/>
    <x v="12"/>
  </r>
  <r>
    <d v="2026-03-02T00:00:00"/>
    <s v="000623.SZ"/>
    <s v="吉林敖东"/>
    <n v="0.16700000000000001"/>
    <x v="9"/>
  </r>
  <r>
    <d v="2026-03-02T00:00:00"/>
    <s v="000629.SZ"/>
    <s v="钒钛股份"/>
    <n v="0.18099999999999999"/>
    <x v="13"/>
  </r>
  <r>
    <d v="2026-03-02T00:00:00"/>
    <s v="000657.SZ"/>
    <s v="中钨高新"/>
    <n v="0.55400000000000005"/>
    <x v="6"/>
  </r>
  <r>
    <d v="2026-03-02T00:00:00"/>
    <s v="000683.SZ"/>
    <s v="博源化工"/>
    <n v="0.224"/>
    <x v="14"/>
  </r>
  <r>
    <d v="2026-03-02T00:00:00"/>
    <s v="000703.SZ"/>
    <s v="恒逸石化"/>
    <n v="0.21199999999999999"/>
    <x v="15"/>
  </r>
  <r>
    <d v="2026-03-02T00:00:00"/>
    <s v="000709.SZ"/>
    <s v="河钢股份"/>
    <n v="0.10100000000000001"/>
    <x v="13"/>
  </r>
  <r>
    <d v="2026-03-02T00:00:00"/>
    <s v="000723.SZ"/>
    <s v="美锦能源"/>
    <n v="0.14799999999999999"/>
    <x v="16"/>
  </r>
  <r>
    <d v="2026-03-02T00:00:00"/>
    <s v="000728.SZ"/>
    <s v="国元证券"/>
    <n v="0.2"/>
    <x v="8"/>
  </r>
  <r>
    <d v="2026-03-02T00:00:00"/>
    <s v="000729.SZ"/>
    <s v="燕京啤酒"/>
    <n v="0.16700000000000001"/>
    <x v="17"/>
  </r>
  <r>
    <d v="2026-03-02T00:00:00"/>
    <s v="000733.SZ"/>
    <s v="振华科技"/>
    <n v="0.20499999999999999"/>
    <x v="10"/>
  </r>
  <r>
    <d v="2026-03-02T00:00:00"/>
    <s v="000738.SZ"/>
    <s v="航发控制"/>
    <n v="0.20200000000000001"/>
    <x v="10"/>
  </r>
  <r>
    <d v="2026-03-02T00:00:00"/>
    <s v="000739.SZ"/>
    <s v="普洛药业"/>
    <n v="9.6000000000000002E-2"/>
    <x v="9"/>
  </r>
  <r>
    <d v="2026-03-02T00:00:00"/>
    <s v="000750.SZ"/>
    <s v="国海证券"/>
    <n v="0.17299999999999999"/>
    <x v="8"/>
  </r>
  <r>
    <d v="2026-03-02T00:00:00"/>
    <s v="000783.SZ"/>
    <s v="长江证券"/>
    <n v="0.24199999999999999"/>
    <x v="8"/>
  </r>
  <r>
    <d v="2026-03-02T00:00:00"/>
    <s v="000785.SZ"/>
    <s v="居然智家"/>
    <n v="6.8000000000000005E-2"/>
    <x v="18"/>
  </r>
  <r>
    <d v="2026-03-02T00:00:00"/>
    <s v="000825.SZ"/>
    <s v="太钢不锈"/>
    <n v="0.111"/>
    <x v="13"/>
  </r>
  <r>
    <d v="2026-03-02T00:00:00"/>
    <s v="000830.SZ"/>
    <s v="鲁西化工"/>
    <n v="0.19600000000000001"/>
    <x v="14"/>
  </r>
  <r>
    <d v="2026-03-02T00:00:00"/>
    <s v="000831.SZ"/>
    <s v="中国稀土"/>
    <n v="0.443"/>
    <x v="6"/>
  </r>
  <r>
    <d v="2026-03-02T00:00:00"/>
    <s v="000878.SZ"/>
    <s v="云南铜业"/>
    <n v="0.318"/>
    <x v="6"/>
  </r>
  <r>
    <d v="2026-03-02T00:00:00"/>
    <s v="000883.SZ"/>
    <s v="湖北能源"/>
    <n v="9.2999999999999999E-2"/>
    <x v="2"/>
  </r>
  <r>
    <d v="2026-03-02T00:00:00"/>
    <s v="000887.SZ"/>
    <s v="中鼎股份"/>
    <n v="0.158"/>
    <x v="11"/>
  </r>
  <r>
    <d v="2026-03-02T00:00:00"/>
    <s v="000893.SZ"/>
    <s v="亚钾国际"/>
    <n v="0.28699999999999998"/>
    <x v="14"/>
  </r>
  <r>
    <d v="2026-03-02T00:00:00"/>
    <s v="000898.SZ"/>
    <s v="鞍钢股份"/>
    <n v="5.8999999999999997E-2"/>
    <x v="13"/>
  </r>
  <r>
    <d v="2026-03-02T00:00:00"/>
    <s v="000921.SZ"/>
    <s v="海信家电"/>
    <n v="0.10100000000000001"/>
    <x v="19"/>
  </r>
  <r>
    <d v="2026-03-02T00:00:00"/>
    <s v="000932.SZ"/>
    <s v="华菱钢铁"/>
    <n v="0.21299999999999999"/>
    <x v="13"/>
  </r>
  <r>
    <d v="2026-03-02T00:00:00"/>
    <s v="000933.SZ"/>
    <s v="神火股份"/>
    <n v="0.46899999999999997"/>
    <x v="6"/>
  </r>
  <r>
    <d v="2026-03-02T00:00:00"/>
    <s v="000937.SZ"/>
    <s v="冀中能源"/>
    <n v="5.6000000000000001E-2"/>
    <x v="16"/>
  </r>
  <r>
    <d v="2026-03-02T00:00:00"/>
    <s v="000951.SZ"/>
    <s v="中国重汽"/>
    <n v="0.111"/>
    <x v="11"/>
  </r>
  <r>
    <d v="2026-03-02T00:00:00"/>
    <s v="000958.SZ"/>
    <s v="电投产融"/>
    <n v="9.5000000000000001E-2"/>
    <x v="8"/>
  </r>
  <r>
    <d v="2026-03-02T00:00:00"/>
    <s v="000959.SZ"/>
    <s v="首钢股份"/>
    <n v="8.1000000000000003E-2"/>
    <x v="13"/>
  </r>
  <r>
    <d v="2026-03-02T00:00:00"/>
    <s v="000960.SZ"/>
    <s v="锡业股份"/>
    <n v="0.40200000000000002"/>
    <x v="6"/>
  </r>
  <r>
    <d v="2026-03-02T00:00:00"/>
    <s v="000967.SZ"/>
    <s v="盈峰环境"/>
    <n v="9.7000000000000003E-2"/>
    <x v="12"/>
  </r>
  <r>
    <d v="2026-03-02T00:00:00"/>
    <s v="000987.SZ"/>
    <s v="越秀资本"/>
    <n v="0.13300000000000001"/>
    <x v="8"/>
  </r>
  <r>
    <d v="2026-03-02T00:00:00"/>
    <s v="000997.SZ"/>
    <s v="新大陆"/>
    <n v="0.16400000000000001"/>
    <x v="4"/>
  </r>
  <r>
    <d v="2026-03-02T00:00:00"/>
    <s v="001213.SZ"/>
    <s v="中铁特货"/>
    <n v="3.4000000000000002E-2"/>
    <x v="7"/>
  </r>
  <r>
    <d v="2026-03-02T00:00:00"/>
    <s v="001221.SZ"/>
    <s v="悍高集团"/>
    <n v="2.3E-2"/>
    <x v="20"/>
  </r>
  <r>
    <d v="2026-03-02T00:00:00"/>
    <s v="001286.SZ"/>
    <s v="陕西能源"/>
    <n v="7.2999999999999995E-2"/>
    <x v="2"/>
  </r>
  <r>
    <d v="2026-03-02T00:00:00"/>
    <s v="001389.SZ"/>
    <s v="广合科技"/>
    <n v="0.187"/>
    <x v="1"/>
  </r>
  <r>
    <d v="2026-03-02T00:00:00"/>
    <s v="001696.SZ"/>
    <s v="宗申动力"/>
    <n v="0.156"/>
    <x v="5"/>
  </r>
  <r>
    <d v="2026-03-02T00:00:00"/>
    <s v="002007.SZ"/>
    <s v="华兰生物"/>
    <n v="0.156"/>
    <x v="9"/>
  </r>
  <r>
    <d v="2026-03-02T00:00:00"/>
    <s v="002008.SZ"/>
    <s v="大族激光"/>
    <n v="0.54600000000000004"/>
    <x v="5"/>
  </r>
  <r>
    <d v="2026-03-02T00:00:00"/>
    <s v="002025.SZ"/>
    <s v="航天电器"/>
    <n v="0.13300000000000001"/>
    <x v="10"/>
  </r>
  <r>
    <d v="2026-03-02T00:00:00"/>
    <s v="002032.SZ"/>
    <s v="苏泊尔"/>
    <n v="6.5000000000000002E-2"/>
    <x v="19"/>
  </r>
  <r>
    <d v="2026-03-02T00:00:00"/>
    <s v="002044.SZ"/>
    <s v="美年健康"/>
    <n v="0.20100000000000001"/>
    <x v="9"/>
  </r>
  <r>
    <d v="2026-03-02T00:00:00"/>
    <s v="002056.SZ"/>
    <s v="横店东磁"/>
    <n v="0.16500000000000001"/>
    <x v="0"/>
  </r>
  <r>
    <d v="2026-03-02T00:00:00"/>
    <s v="002064.SZ"/>
    <s v="华峰化学"/>
    <n v="0.22600000000000001"/>
    <x v="14"/>
  </r>
  <r>
    <d v="2026-03-02T00:00:00"/>
    <s v="002065.SZ"/>
    <s v="东华软件"/>
    <n v="0.19900000000000001"/>
    <x v="4"/>
  </r>
  <r>
    <d v="2026-03-02T00:00:00"/>
    <s v="002078.SZ"/>
    <s v="太阳纸业"/>
    <n v="0.26500000000000001"/>
    <x v="20"/>
  </r>
  <r>
    <d v="2026-03-02T00:00:00"/>
    <s v="002080.SZ"/>
    <s v="中材科技"/>
    <n v="0.312"/>
    <x v="21"/>
  </r>
  <r>
    <d v="2026-03-02T00:00:00"/>
    <s v="002085.SZ"/>
    <s v="万丰奥威"/>
    <n v="0.223"/>
    <x v="11"/>
  </r>
  <r>
    <d v="2026-03-02T00:00:00"/>
    <s v="002120.SZ"/>
    <s v="韵达股份"/>
    <n v="9.5000000000000001E-2"/>
    <x v="7"/>
  </r>
  <r>
    <d v="2026-03-02T00:00:00"/>
    <s v="002126.SZ"/>
    <s v="银轮股份"/>
    <n v="0.377"/>
    <x v="11"/>
  </r>
  <r>
    <d v="2026-03-02T00:00:00"/>
    <s v="002128.SZ"/>
    <s v="电投能源"/>
    <n v="0.316"/>
    <x v="16"/>
  </r>
  <r>
    <d v="2026-03-02T00:00:00"/>
    <s v="002130.SZ"/>
    <s v="沃尔核材"/>
    <n v="0.33"/>
    <x v="1"/>
  </r>
  <r>
    <d v="2026-03-02T00:00:00"/>
    <s v="002131.SZ"/>
    <s v="利欧股份"/>
    <n v="0.59799999999999998"/>
    <x v="5"/>
  </r>
  <r>
    <d v="2026-03-02T00:00:00"/>
    <s v="002138.SZ"/>
    <s v="顺络电子"/>
    <n v="0.309"/>
    <x v="1"/>
  </r>
  <r>
    <d v="2026-03-02T00:00:00"/>
    <s v="002152.SZ"/>
    <s v="广电运通"/>
    <n v="0.157"/>
    <x v="4"/>
  </r>
  <r>
    <d v="2026-03-02T00:00:00"/>
    <s v="002153.SZ"/>
    <s v="石基信息"/>
    <n v="8.8999999999999996E-2"/>
    <x v="4"/>
  </r>
  <r>
    <d v="2026-03-02T00:00:00"/>
    <s v="002155.SZ"/>
    <s v="湖南黄金"/>
    <n v="0.378"/>
    <x v="6"/>
  </r>
  <r>
    <d v="2026-03-02T00:00:00"/>
    <s v="002156.SZ"/>
    <s v="通富微电"/>
    <n v="0.57899999999999996"/>
    <x v="1"/>
  </r>
  <r>
    <d v="2026-03-02T00:00:00"/>
    <s v="002157.SZ"/>
    <s v="正邦科技"/>
    <n v="0.218"/>
    <x v="22"/>
  </r>
  <r>
    <d v="2026-03-02T00:00:00"/>
    <s v="002185.SZ"/>
    <s v="华天科技"/>
    <n v="0.35699999999999998"/>
    <x v="1"/>
  </r>
  <r>
    <d v="2026-03-02T00:00:00"/>
    <s v="002195.SZ"/>
    <s v="岩山科技"/>
    <n v="0.57599999999999996"/>
    <x v="4"/>
  </r>
  <r>
    <d v="2026-03-02T00:00:00"/>
    <s v="002202.SZ"/>
    <s v="金风科技"/>
    <n v="0.63100000000000001"/>
    <x v="0"/>
  </r>
  <r>
    <d v="2026-03-02T00:00:00"/>
    <s v="002203.SZ"/>
    <s v="海亮股份"/>
    <n v="0.186"/>
    <x v="23"/>
  </r>
  <r>
    <d v="2026-03-02T00:00:00"/>
    <s v="002223.SZ"/>
    <s v="鱼跃医疗"/>
    <n v="0.214"/>
    <x v="23"/>
  </r>
  <r>
    <d v="2026-03-02T00:00:00"/>
    <s v="002244.SZ"/>
    <s v="滨江集团"/>
    <n v="0.128"/>
    <x v="24"/>
  </r>
  <r>
    <d v="2026-03-02T00:00:00"/>
    <s v="002261.SZ"/>
    <s v="拓维信息"/>
    <n v="0.42199999999999999"/>
    <x v="4"/>
  </r>
  <r>
    <d v="2026-03-02T00:00:00"/>
    <s v="002262.SZ"/>
    <s v="恩华药业"/>
    <n v="0.13300000000000001"/>
    <x v="9"/>
  </r>
  <r>
    <d v="2026-03-02T00:00:00"/>
    <s v="002265.SZ"/>
    <s v="建设工业"/>
    <n v="7.0999999999999994E-2"/>
    <x v="11"/>
  </r>
  <r>
    <d v="2026-03-02T00:00:00"/>
    <s v="002266.SZ"/>
    <s v="浙富控股"/>
    <n v="0.125"/>
    <x v="12"/>
  </r>
  <r>
    <d v="2026-03-02T00:00:00"/>
    <s v="002271.SZ"/>
    <s v="东方雨虹"/>
    <n v="0.316"/>
    <x v="21"/>
  </r>
  <r>
    <d v="2026-03-02T00:00:00"/>
    <s v="002273.SZ"/>
    <s v="水晶光电"/>
    <n v="0.36"/>
    <x v="1"/>
  </r>
  <r>
    <d v="2026-03-02T00:00:00"/>
    <s v="002281.SZ"/>
    <s v="光迅科技"/>
    <n v="0.33700000000000002"/>
    <x v="25"/>
  </r>
  <r>
    <d v="2026-03-02T00:00:00"/>
    <s v="002294.SZ"/>
    <s v="信立泰"/>
    <n v="0.251"/>
    <x v="9"/>
  </r>
  <r>
    <d v="2026-03-02T00:00:00"/>
    <s v="002299.SZ"/>
    <s v="圣农发展"/>
    <n v="0.11"/>
    <x v="22"/>
  </r>
  <r>
    <d v="2026-03-02T00:00:00"/>
    <s v="002312.SZ"/>
    <s v="川发龙蟒"/>
    <n v="0.14199999999999999"/>
    <x v="14"/>
  </r>
  <r>
    <d v="2026-03-02T00:00:00"/>
    <s v="002318.SZ"/>
    <s v="久立特材"/>
    <n v="0.217"/>
    <x v="13"/>
  </r>
  <r>
    <d v="2026-03-02T00:00:00"/>
    <s v="002335.SZ"/>
    <s v="科华数据"/>
    <n v="0.20699999999999999"/>
    <x v="0"/>
  </r>
  <r>
    <d v="2026-03-02T00:00:00"/>
    <s v="002340.SZ"/>
    <s v="格林美"/>
    <n v="0.46600000000000003"/>
    <x v="0"/>
  </r>
  <r>
    <d v="2026-03-02T00:00:00"/>
    <s v="002353.SZ"/>
    <s v="杰瑞股份"/>
    <n v="0.66100000000000003"/>
    <x v="5"/>
  </r>
  <r>
    <d v="2026-03-02T00:00:00"/>
    <s v="002372.SZ"/>
    <s v="伟星新材"/>
    <n v="7.1999999999999995E-2"/>
    <x v="21"/>
  </r>
  <r>
    <d v="2026-03-02T00:00:00"/>
    <s v="002385.SZ"/>
    <s v="大北农"/>
    <n v="0.128"/>
    <x v="22"/>
  </r>
  <r>
    <d v="2026-03-02T00:00:00"/>
    <s v="002402.SZ"/>
    <s v="和而泰"/>
    <n v="0.309"/>
    <x v="1"/>
  </r>
  <r>
    <d v="2026-03-02T00:00:00"/>
    <s v="002409.SZ"/>
    <s v="雅克科技"/>
    <n v="0.251"/>
    <x v="1"/>
  </r>
  <r>
    <d v="2026-03-02T00:00:00"/>
    <s v="002410.SZ"/>
    <s v="广联达"/>
    <n v="0.21199999999999999"/>
    <x v="4"/>
  </r>
  <r>
    <d v="2026-03-02T00:00:00"/>
    <s v="002414.SZ"/>
    <s v="高德红外"/>
    <n v="0.24399999999999999"/>
    <x v="10"/>
  </r>
  <r>
    <d v="2026-03-02T00:00:00"/>
    <s v="002423.SZ"/>
    <s v="中粮资本"/>
    <n v="9.4E-2"/>
    <x v="8"/>
  </r>
  <r>
    <d v="2026-03-02T00:00:00"/>
    <s v="002429.SZ"/>
    <s v="兆驰股份"/>
    <n v="0.222"/>
    <x v="19"/>
  </r>
  <r>
    <d v="2026-03-02T00:00:00"/>
    <s v="002430.SZ"/>
    <s v="杭氧股份"/>
    <n v="0.14599999999999999"/>
    <x v="14"/>
  </r>
  <r>
    <d v="2026-03-02T00:00:00"/>
    <s v="002432.SZ"/>
    <s v="九安医疗"/>
    <n v="0.13300000000000001"/>
    <x v="9"/>
  </r>
  <r>
    <d v="2026-03-02T00:00:00"/>
    <s v="002436.SZ"/>
    <s v="兴森科技"/>
    <n v="0.40500000000000003"/>
    <x v="1"/>
  </r>
  <r>
    <d v="2026-03-02T00:00:00"/>
    <s v="002439.SZ"/>
    <s v="启明星辰"/>
    <n v="9.7000000000000003E-2"/>
    <x v="4"/>
  </r>
  <r>
    <d v="2026-03-02T00:00:00"/>
    <s v="002444.SZ"/>
    <s v="巨星科技"/>
    <n v="0.23499999999999999"/>
    <x v="5"/>
  </r>
  <r>
    <d v="2026-03-02T00:00:00"/>
    <s v="002461.SZ"/>
    <s v="珠江啤酒"/>
    <n v="3.9E-2"/>
    <x v="17"/>
  </r>
  <r>
    <d v="2026-03-02T00:00:00"/>
    <s v="002465.SZ"/>
    <s v="海格通信"/>
    <n v="0.32200000000000001"/>
    <x v="10"/>
  </r>
  <r>
    <d v="2026-03-02T00:00:00"/>
    <s v="002472.SZ"/>
    <s v="双环传动"/>
    <n v="0.25800000000000001"/>
    <x v="11"/>
  </r>
  <r>
    <d v="2026-03-02T00:00:00"/>
    <s v="002500.SZ"/>
    <s v="山西证券"/>
    <n v="0.11899999999999999"/>
    <x v="8"/>
  </r>
  <r>
    <d v="2026-03-02T00:00:00"/>
    <s v="002508.SZ"/>
    <s v="老板电器"/>
    <n v="9.0999999999999998E-2"/>
    <x v="19"/>
  </r>
  <r>
    <d v="2026-03-02T00:00:00"/>
    <s v="002517.SZ"/>
    <s v="恺英网络"/>
    <n v="0.35599999999999998"/>
    <x v="26"/>
  </r>
  <r>
    <d v="2026-03-02T00:00:00"/>
    <s v="002532.SZ"/>
    <s v="天山铝业"/>
    <n v="0.45200000000000001"/>
    <x v="6"/>
  </r>
  <r>
    <d v="2026-03-02T00:00:00"/>
    <s v="002558.SZ"/>
    <s v="巨人网络"/>
    <n v="0.46100000000000002"/>
    <x v="26"/>
  </r>
  <r>
    <d v="2026-03-02T00:00:00"/>
    <s v="002568.SZ"/>
    <s v="百润股份"/>
    <n v="9.2999999999999999E-2"/>
    <x v="17"/>
  </r>
  <r>
    <d v="2026-03-02T00:00:00"/>
    <s v="002583.SZ"/>
    <s v="海能达"/>
    <n v="0.111"/>
    <x v="25"/>
  </r>
  <r>
    <d v="2026-03-02T00:00:00"/>
    <s v="002595.SZ"/>
    <s v="豪迈科技"/>
    <n v="0.35399999999999998"/>
    <x v="5"/>
  </r>
  <r>
    <d v="2026-03-02T00:00:00"/>
    <s v="002603.SZ"/>
    <s v="以岭药业"/>
    <n v="0.13400000000000001"/>
    <x v="9"/>
  </r>
  <r>
    <d v="2026-03-02T00:00:00"/>
    <s v="002607.SZ"/>
    <s v="中公教育"/>
    <n v="0.13500000000000001"/>
    <x v="27"/>
  </r>
  <r>
    <d v="2026-03-02T00:00:00"/>
    <s v="002608.SZ"/>
    <s v="江苏国信"/>
    <n v="5.7000000000000002E-2"/>
    <x v="2"/>
  </r>
  <r>
    <d v="2026-03-02T00:00:00"/>
    <s v="002624.SZ"/>
    <s v="完美世界"/>
    <n v="0.26900000000000002"/>
    <x v="26"/>
  </r>
  <r>
    <d v="2026-03-02T00:00:00"/>
    <s v="002670.SZ"/>
    <s v="国盛证券"/>
    <n v="8.5000000000000006E-2"/>
    <x v="8"/>
  </r>
  <r>
    <d v="2026-03-02T00:00:00"/>
    <s v="002673.SZ"/>
    <s v="西部证券"/>
    <n v="0.19700000000000001"/>
    <x v="8"/>
  </r>
  <r>
    <d v="2026-03-02T00:00:00"/>
    <s v="002683.SZ"/>
    <s v="广东宏大"/>
    <n v="0.19900000000000001"/>
    <x v="14"/>
  </r>
  <r>
    <d v="2026-03-02T00:00:00"/>
    <s v="002738.SZ"/>
    <s v="中矿资源"/>
    <n v="0.60199999999999998"/>
    <x v="6"/>
  </r>
  <r>
    <d v="2026-03-02T00:00:00"/>
    <s v="002739.SZ"/>
    <s v="万达电影"/>
    <n v="0.14799999999999999"/>
    <x v="26"/>
  </r>
  <r>
    <d v="2026-03-02T00:00:00"/>
    <s v="002756.SZ"/>
    <s v="永兴材料"/>
    <n v="0.22500000000000001"/>
    <x v="6"/>
  </r>
  <r>
    <d v="2026-03-02T00:00:00"/>
    <s v="002773.SZ"/>
    <s v="康弘药业"/>
    <n v="9.9000000000000005E-2"/>
    <x v="9"/>
  </r>
  <r>
    <d v="2026-03-02T00:00:00"/>
    <s v="002797.SZ"/>
    <s v="第一创业"/>
    <n v="0.28999999999999998"/>
    <x v="8"/>
  </r>
  <r>
    <d v="2026-03-02T00:00:00"/>
    <s v="002821.SZ"/>
    <s v="凯莱英"/>
    <n v="0.17899999999999999"/>
    <x v="9"/>
  </r>
  <r>
    <d v="2026-03-02T00:00:00"/>
    <s v="002831.SZ"/>
    <s v="裕同科技"/>
    <n v="0.107"/>
    <x v="20"/>
  </r>
  <r>
    <d v="2026-03-02T00:00:00"/>
    <s v="002837.SZ"/>
    <s v="英维克"/>
    <n v="0.57899999999999996"/>
    <x v="5"/>
  </r>
  <r>
    <d v="2026-03-02T00:00:00"/>
    <s v="002841.SZ"/>
    <s v="视源股份"/>
    <n v="0.14799999999999999"/>
    <x v="1"/>
  </r>
  <r>
    <d v="2026-03-02T00:00:00"/>
    <s v="002850.SZ"/>
    <s v="科达利"/>
    <n v="0.29099999999999998"/>
    <x v="0"/>
  </r>
  <r>
    <d v="2026-03-02T00:00:00"/>
    <s v="002851.SZ"/>
    <s v="麦格米特"/>
    <n v="0.46500000000000002"/>
    <x v="0"/>
  </r>
  <r>
    <d v="2026-03-02T00:00:00"/>
    <s v="002926.SZ"/>
    <s v="华西证券"/>
    <n v="0.129"/>
    <x v="8"/>
  </r>
  <r>
    <d v="2026-03-02T00:00:00"/>
    <s v="002939.SZ"/>
    <s v="长城证券"/>
    <n v="0.14699999999999999"/>
    <x v="8"/>
  </r>
  <r>
    <d v="2026-03-02T00:00:00"/>
    <s v="002945.SZ"/>
    <s v="华林证券"/>
    <n v="4.4999999999999998E-2"/>
    <x v="8"/>
  </r>
  <r>
    <d v="2026-03-02T00:00:00"/>
    <s v="002958.SZ"/>
    <s v="青农商行"/>
    <n v="0.129"/>
    <x v="28"/>
  </r>
  <r>
    <d v="2026-03-02T00:00:00"/>
    <s v="002966.SZ"/>
    <s v="苏州银行"/>
    <n v="0.33300000000000002"/>
    <x v="28"/>
  </r>
  <r>
    <d v="2026-03-02T00:00:00"/>
    <s v="002984.SZ"/>
    <s v="森麒麟"/>
    <n v="0.11799999999999999"/>
    <x v="11"/>
  </r>
  <r>
    <d v="2026-03-02T00:00:00"/>
    <s v="003021.SZ"/>
    <s v="兆威机电"/>
    <n v="0.105"/>
    <x v="0"/>
  </r>
  <r>
    <d v="2026-03-02T00:00:00"/>
    <s v="003022.SZ"/>
    <s v="联泓新科"/>
    <n v="7.8E-2"/>
    <x v="0"/>
  </r>
  <r>
    <d v="2026-03-02T00:00:00"/>
    <s v="003031.SZ"/>
    <s v="中瓷电子"/>
    <n v="0.13300000000000001"/>
    <x v="25"/>
  </r>
  <r>
    <d v="2026-03-02T00:00:00"/>
    <s v="003035.SZ"/>
    <s v="南网能源"/>
    <n v="8.5999999999999993E-2"/>
    <x v="2"/>
  </r>
  <r>
    <d v="2026-03-02T00:00:00"/>
    <s v="300001.SZ"/>
    <s v="特锐德"/>
    <n v="0.20499999999999999"/>
    <x v="0"/>
  </r>
  <r>
    <d v="2026-03-02T00:00:00"/>
    <s v="300002.SZ"/>
    <s v="神州泰岳"/>
    <n v="0.21"/>
    <x v="26"/>
  </r>
  <r>
    <d v="2026-03-02T00:00:00"/>
    <s v="300003.SZ"/>
    <s v="乐普医疗"/>
    <n v="0.217"/>
    <x v="9"/>
  </r>
  <r>
    <d v="2026-03-02T00:00:00"/>
    <s v="300012.SZ"/>
    <s v="华测检测"/>
    <n v="0.252"/>
    <x v="27"/>
  </r>
  <r>
    <d v="2026-03-02T00:00:00"/>
    <s v="300017.SZ"/>
    <s v="网宿科技"/>
    <n v="0.45600000000000002"/>
    <x v="4"/>
  </r>
  <r>
    <d v="2026-03-02T00:00:00"/>
    <s v="300024.SZ"/>
    <s v="机器人"/>
    <n v="0.20100000000000001"/>
    <x v="5"/>
  </r>
  <r>
    <d v="2026-03-02T00:00:00"/>
    <s v="300037.SZ"/>
    <s v="新宙邦"/>
    <n v="0.27400000000000002"/>
    <x v="0"/>
  </r>
  <r>
    <d v="2026-03-02T00:00:00"/>
    <s v="300054.SZ"/>
    <s v="鼎龙股份"/>
    <n v="0.31900000000000001"/>
    <x v="1"/>
  </r>
  <r>
    <d v="2026-03-02T00:00:00"/>
    <s v="300058.SZ"/>
    <s v="蓝色光标"/>
    <n v="0.60899999999999999"/>
    <x v="26"/>
  </r>
  <r>
    <d v="2026-03-02T00:00:00"/>
    <s v="300070.SZ"/>
    <s v="碧水源"/>
    <n v="8.4000000000000005E-2"/>
    <x v="12"/>
  </r>
  <r>
    <d v="2026-03-02T00:00:00"/>
    <s v="300073.SZ"/>
    <s v="当升科技"/>
    <n v="0.22800000000000001"/>
    <x v="0"/>
  </r>
  <r>
    <d v="2026-03-02T00:00:00"/>
    <s v="300100.SZ"/>
    <s v="双林股份"/>
    <n v="0.115"/>
    <x v="11"/>
  </r>
  <r>
    <d v="2026-03-02T00:00:00"/>
    <s v="300115.SZ"/>
    <s v="长盈精密"/>
    <n v="0.33700000000000002"/>
    <x v="1"/>
  </r>
  <r>
    <d v="2026-03-02T00:00:00"/>
    <s v="300136.SZ"/>
    <s v="信维通信"/>
    <n v="0.68"/>
    <x v="1"/>
  </r>
  <r>
    <d v="2026-03-02T00:00:00"/>
    <s v="300140.SZ"/>
    <s v="节能环境"/>
    <n v="4.3999999999999997E-2"/>
    <x v="12"/>
  </r>
  <r>
    <d v="2026-03-02T00:00:00"/>
    <s v="300142.SZ"/>
    <s v="沃森生物"/>
    <n v="0.18099999999999999"/>
    <x v="9"/>
  </r>
  <r>
    <d v="2026-03-02T00:00:00"/>
    <s v="300144.SZ"/>
    <s v="宋城演艺"/>
    <n v="0.12"/>
    <x v="27"/>
  </r>
  <r>
    <d v="2026-03-02T00:00:00"/>
    <s v="300146.SZ"/>
    <s v="汤臣倍健"/>
    <n v="0.112"/>
    <x v="17"/>
  </r>
  <r>
    <d v="2026-03-02T00:00:00"/>
    <s v="300207.SZ"/>
    <s v="欣旺达"/>
    <n v="0.35499999999999998"/>
    <x v="0"/>
  </r>
  <r>
    <d v="2026-03-02T00:00:00"/>
    <s v="300223.SZ"/>
    <s v="北京君正"/>
    <n v="0.41299999999999998"/>
    <x v="1"/>
  </r>
  <r>
    <d v="2026-03-02T00:00:00"/>
    <s v="300285.SZ"/>
    <s v="国瓷材料"/>
    <n v="0.28000000000000003"/>
    <x v="1"/>
  </r>
  <r>
    <d v="2026-03-02T00:00:00"/>
    <s v="300339.SZ"/>
    <s v="润和软件"/>
    <n v="0.378"/>
    <x v="4"/>
  </r>
  <r>
    <d v="2026-03-02T00:00:00"/>
    <s v="300346.SZ"/>
    <s v="南大光电"/>
    <n v="0.36099999999999999"/>
    <x v="1"/>
  </r>
  <r>
    <d v="2026-03-02T00:00:00"/>
    <s v="300373.SZ"/>
    <s v="扬杰科技"/>
    <n v="0.26100000000000001"/>
    <x v="1"/>
  </r>
  <r>
    <d v="2026-03-02T00:00:00"/>
    <s v="300383.SZ"/>
    <s v="光环新网"/>
    <n v="0.23"/>
    <x v="25"/>
  </r>
  <r>
    <d v="2026-03-02T00:00:00"/>
    <s v="300390.SZ"/>
    <s v="天华新能"/>
    <n v="0.26900000000000002"/>
    <x v="0"/>
  </r>
  <r>
    <d v="2026-03-02T00:00:00"/>
    <s v="300395.SZ"/>
    <s v="菲利华"/>
    <n v="0.51500000000000001"/>
    <x v="10"/>
  </r>
  <r>
    <d v="2026-03-02T00:00:00"/>
    <s v="300432.SZ"/>
    <s v="富临精工"/>
    <n v="0.16900000000000001"/>
    <x v="0"/>
  </r>
  <r>
    <d v="2026-03-02T00:00:00"/>
    <s v="300450.SZ"/>
    <s v="先导智能"/>
    <n v="0.55100000000000005"/>
    <x v="0"/>
  </r>
  <r>
    <d v="2026-03-02T00:00:00"/>
    <s v="300454.SZ"/>
    <s v="深信服"/>
    <n v="0.30399999999999999"/>
    <x v="4"/>
  </r>
  <r>
    <d v="2026-03-02T00:00:00"/>
    <s v="300458.SZ"/>
    <s v="全志科技"/>
    <n v="0.22600000000000001"/>
    <x v="1"/>
  </r>
  <r>
    <d v="2026-03-02T00:00:00"/>
    <s v="300474.SZ"/>
    <s v="景嘉微"/>
    <n v="0.24199999999999999"/>
    <x v="10"/>
  </r>
  <r>
    <d v="2026-03-02T00:00:00"/>
    <s v="300487.SZ"/>
    <s v="蓝晓科技"/>
    <n v="0.17399999999999999"/>
    <x v="14"/>
  </r>
  <r>
    <d v="2026-03-02T00:00:00"/>
    <s v="300496.SZ"/>
    <s v="中科创达"/>
    <n v="0.247"/>
    <x v="4"/>
  </r>
  <r>
    <d v="2026-03-02T00:00:00"/>
    <s v="300529.SZ"/>
    <s v="健帆生物"/>
    <n v="8.6999999999999994E-2"/>
    <x v="9"/>
  </r>
  <r>
    <d v="2026-03-02T00:00:00"/>
    <s v="300558.SZ"/>
    <s v="贝达药业"/>
    <n v="0.107"/>
    <x v="9"/>
  </r>
  <r>
    <d v="2026-03-02T00:00:00"/>
    <s v="300567.SZ"/>
    <s v="精测电子"/>
    <n v="0.27400000000000002"/>
    <x v="5"/>
  </r>
  <r>
    <d v="2026-03-02T00:00:00"/>
    <s v="300570.SZ"/>
    <s v="太辰光"/>
    <n v="0.19800000000000001"/>
    <x v="25"/>
  </r>
  <r>
    <d v="2026-03-02T00:00:00"/>
    <s v="300601.SZ"/>
    <s v="康泰生物"/>
    <n v="9.2999999999999999E-2"/>
    <x v="9"/>
  </r>
  <r>
    <d v="2026-03-02T00:00:00"/>
    <s v="300604.SZ"/>
    <s v="长川科技"/>
    <n v="0.58899999999999997"/>
    <x v="1"/>
  </r>
  <r>
    <d v="2026-03-02T00:00:00"/>
    <s v="300623.SZ"/>
    <s v="捷捷微电"/>
    <n v="0.157"/>
    <x v="1"/>
  </r>
  <r>
    <d v="2026-03-02T00:00:00"/>
    <s v="300627.SZ"/>
    <s v="华测导航"/>
    <n v="0.191"/>
    <x v="25"/>
  </r>
  <r>
    <d v="2026-03-02T00:00:00"/>
    <s v="300676.SZ"/>
    <s v="华大基因"/>
    <n v="0.13100000000000001"/>
    <x v="9"/>
  </r>
  <r>
    <d v="2026-03-02T00:00:00"/>
    <s v="300677.SZ"/>
    <s v="英科医疗"/>
    <n v="0.185"/>
    <x v="9"/>
  </r>
  <r>
    <d v="2026-03-02T00:00:00"/>
    <s v="300679.SZ"/>
    <s v="电连技术"/>
    <n v="0.11799999999999999"/>
    <x v="1"/>
  </r>
  <r>
    <d v="2026-03-02T00:00:00"/>
    <s v="300699.SZ"/>
    <s v="光威复材"/>
    <n v="0.217"/>
    <x v="10"/>
  </r>
  <r>
    <d v="2026-03-02T00:00:00"/>
    <s v="300718.SZ"/>
    <s v="长盛轴承"/>
    <n v="8.7999999999999995E-2"/>
    <x v="5"/>
  </r>
  <r>
    <d v="2026-03-02T00:00:00"/>
    <s v="300724.SZ"/>
    <s v="捷佳伟创"/>
    <n v="0.316"/>
    <x v="0"/>
  </r>
  <r>
    <d v="2026-03-02T00:00:00"/>
    <s v="300735.SZ"/>
    <s v="光弘科技"/>
    <n v="0.112"/>
    <x v="1"/>
  </r>
  <r>
    <d v="2026-03-02T00:00:00"/>
    <s v="300748.SZ"/>
    <s v="金力永磁"/>
    <n v="0.25800000000000001"/>
    <x v="6"/>
  </r>
  <r>
    <d v="2026-03-02T00:00:00"/>
    <s v="300751.SZ"/>
    <s v="迈为股份"/>
    <n v="0.44900000000000001"/>
    <x v="0"/>
  </r>
  <r>
    <d v="2026-03-02T00:00:00"/>
    <s v="300757.SZ"/>
    <s v="罗博特科"/>
    <n v="0.38100000000000001"/>
    <x v="5"/>
  </r>
  <r>
    <d v="2026-03-02T00:00:00"/>
    <s v="300763.SZ"/>
    <s v="锦浪科技"/>
    <n v="0.184"/>
    <x v="0"/>
  </r>
  <r>
    <d v="2026-03-02T00:00:00"/>
    <s v="300857.SZ"/>
    <s v="协创数据"/>
    <n v="0.59299999999999997"/>
    <x v="1"/>
  </r>
  <r>
    <d v="2026-03-02T00:00:00"/>
    <s v="300888.SZ"/>
    <s v="稳健医疗"/>
    <n v="7.5999999999999998E-2"/>
    <x v="29"/>
  </r>
  <r>
    <d v="2026-03-02T00:00:00"/>
    <s v="300919.SZ"/>
    <s v="中伟新材"/>
    <n v="0.247"/>
    <x v="0"/>
  </r>
  <r>
    <d v="2026-03-02T00:00:00"/>
    <s v="300957.SZ"/>
    <s v="贝泰妮"/>
    <n v="9.1999999999999998E-2"/>
    <x v="29"/>
  </r>
  <r>
    <d v="2026-03-02T00:00:00"/>
    <s v="300972.SZ"/>
    <s v="万辰集团"/>
    <n v="0.17799999999999999"/>
    <x v="17"/>
  </r>
  <r>
    <d v="2026-03-02T00:00:00"/>
    <s v="301200.SZ"/>
    <s v="大族数控"/>
    <n v="9.1999999999999998E-2"/>
    <x v="5"/>
  </r>
  <r>
    <d v="2026-03-02T00:00:00"/>
    <s v="301301.SZ"/>
    <s v="川宁生物"/>
    <n v="7.0000000000000007E-2"/>
    <x v="9"/>
  </r>
  <r>
    <d v="2026-03-02T00:00:00"/>
    <s v="301308.SZ"/>
    <s v="江波龙"/>
    <n v="0.44900000000000001"/>
    <x v="1"/>
  </r>
  <r>
    <d v="2026-03-02T00:00:00"/>
    <s v="301358.SZ"/>
    <s v="湖南裕能"/>
    <n v="0.28100000000000003"/>
    <x v="0"/>
  </r>
  <r>
    <d v="2026-03-02T00:00:00"/>
    <s v="301498.SZ"/>
    <s v="乖宝宠物"/>
    <n v="6.8000000000000005E-2"/>
    <x v="22"/>
  </r>
  <r>
    <d v="2026-03-02T00:00:00"/>
    <s v="301536.SZ"/>
    <s v="星宸科技"/>
    <n v="0.13"/>
    <x v="1"/>
  </r>
  <r>
    <d v="2026-03-02T00:00:00"/>
    <s v="301611.SZ"/>
    <s v="珂玛科技"/>
    <n v="0.20200000000000001"/>
    <x v="1"/>
  </r>
  <r>
    <d v="2026-03-02T00:00:00"/>
    <s v="600004.SH"/>
    <s v="白云机场"/>
    <n v="8.8999999999999996E-2"/>
    <x v="7"/>
  </r>
  <r>
    <d v="2026-03-02T00:00:00"/>
    <s v="600007.SH"/>
    <s v="中国国贸"/>
    <n v="3.7999999999999999E-2"/>
    <x v="24"/>
  </r>
  <r>
    <d v="2026-03-02T00:00:00"/>
    <s v="600008.SH"/>
    <s v="首创环保"/>
    <n v="0.128"/>
    <x v="12"/>
  </r>
  <r>
    <d v="2026-03-02T00:00:00"/>
    <s v="600021.SH"/>
    <s v="上海电力"/>
    <n v="0.28299999999999997"/>
    <x v="2"/>
  </r>
  <r>
    <d v="2026-03-02T00:00:00"/>
    <s v="600032.SH"/>
    <s v="浙江新能"/>
    <n v="5.5E-2"/>
    <x v="2"/>
  </r>
  <r>
    <d v="2026-03-02T00:00:00"/>
    <s v="600038.SH"/>
    <s v="中直股份"/>
    <n v="0.14599999999999999"/>
    <x v="10"/>
  </r>
  <r>
    <d v="2026-03-02T00:00:00"/>
    <s v="600060.SH"/>
    <s v="海信视像"/>
    <n v="0.16200000000000001"/>
    <x v="19"/>
  </r>
  <r>
    <d v="2026-03-02T00:00:00"/>
    <s v="600062.SH"/>
    <s v="华润双鹤"/>
    <n v="7.0000000000000007E-2"/>
    <x v="9"/>
  </r>
  <r>
    <d v="2026-03-02T00:00:00"/>
    <s v="600095.SH"/>
    <s v="湘财股份"/>
    <n v="0.111"/>
    <x v="8"/>
  </r>
  <r>
    <d v="2026-03-02T00:00:00"/>
    <s v="600096.SH"/>
    <s v="云天化"/>
    <n v="0.51900000000000002"/>
    <x v="14"/>
  </r>
  <r>
    <d v="2026-03-02T00:00:00"/>
    <s v="600098.SH"/>
    <s v="广州发展"/>
    <n v="7.0999999999999994E-2"/>
    <x v="2"/>
  </r>
  <r>
    <d v="2026-03-02T00:00:00"/>
    <s v="600109.SH"/>
    <s v="国金证券"/>
    <n v="0.217"/>
    <x v="8"/>
  </r>
  <r>
    <d v="2026-03-02T00:00:00"/>
    <s v="600118.SH"/>
    <s v="中国卫星"/>
    <n v="0.497"/>
    <x v="10"/>
  </r>
  <r>
    <d v="2026-03-02T00:00:00"/>
    <s v="600126.SH"/>
    <s v="杭钢股份"/>
    <n v="0.123"/>
    <x v="13"/>
  </r>
  <r>
    <d v="2026-03-02T00:00:00"/>
    <s v="600131.SH"/>
    <s v="国网信通"/>
    <n v="0.109"/>
    <x v="4"/>
  </r>
  <r>
    <d v="2026-03-02T00:00:00"/>
    <s v="600132.SH"/>
    <s v="重庆啤酒"/>
    <n v="0.123"/>
    <x v="17"/>
  </r>
  <r>
    <d v="2026-03-02T00:00:00"/>
    <s v="600141.SH"/>
    <s v="兴发集团"/>
    <n v="0.30499999999999999"/>
    <x v="14"/>
  </r>
  <r>
    <d v="2026-03-02T00:00:00"/>
    <s v="600143.SH"/>
    <s v="金发科技"/>
    <n v="0.374"/>
    <x v="14"/>
  </r>
  <r>
    <d v="2026-03-02T00:00:00"/>
    <s v="600153.SH"/>
    <s v="建发股份"/>
    <n v="0.155"/>
    <x v="7"/>
  </r>
  <r>
    <d v="2026-03-02T00:00:00"/>
    <s v="600157.SH"/>
    <s v="永泰能源"/>
    <n v="0.36599999999999999"/>
    <x v="16"/>
  </r>
  <r>
    <d v="2026-03-02T00:00:00"/>
    <s v="600166.SH"/>
    <s v="福田汽车"/>
    <n v="0.13900000000000001"/>
    <x v="11"/>
  </r>
  <r>
    <d v="2026-03-02T00:00:00"/>
    <s v="600170.SH"/>
    <s v="上海建工"/>
    <n v="0.14599999999999999"/>
    <x v="3"/>
  </r>
  <r>
    <d v="2026-03-02T00:00:00"/>
    <s v="600171.SH"/>
    <s v="上海贝岭"/>
    <n v="0.16400000000000001"/>
    <x v="1"/>
  </r>
  <r>
    <d v="2026-03-02T00:00:00"/>
    <s v="600177.SH"/>
    <s v="雅戈尔"/>
    <n v="0.155"/>
    <x v="30"/>
  </r>
  <r>
    <d v="2026-03-02T00:00:00"/>
    <s v="600208.SH"/>
    <s v="衢州发展"/>
    <n v="0.14599999999999999"/>
    <x v="24"/>
  </r>
  <r>
    <d v="2026-03-02T00:00:00"/>
    <s v="600282.SH"/>
    <s v="南钢股份"/>
    <n v="0.13400000000000001"/>
    <x v="13"/>
  </r>
  <r>
    <d v="2026-03-02T00:00:00"/>
    <s v="600295.SH"/>
    <s v="鄂尔多斯"/>
    <n v="9.5000000000000001E-2"/>
    <x v="13"/>
  </r>
  <r>
    <d v="2026-03-02T00:00:00"/>
    <s v="600298.SH"/>
    <s v="安琪酵母"/>
    <n v="0.245"/>
    <x v="17"/>
  </r>
  <r>
    <d v="2026-03-02T00:00:00"/>
    <s v="600299.SH"/>
    <s v="安迪苏"/>
    <n v="4.1000000000000002E-2"/>
    <x v="14"/>
  </r>
  <r>
    <d v="2026-03-02T00:00:00"/>
    <s v="600312.SH"/>
    <s v="平高电气"/>
    <n v="0.17"/>
    <x v="0"/>
  </r>
  <r>
    <d v="2026-03-02T00:00:00"/>
    <s v="600316.SH"/>
    <s v="洪都航空"/>
    <n v="0.16300000000000001"/>
    <x v="10"/>
  </r>
  <r>
    <d v="2026-03-02T00:00:00"/>
    <s v="600329.SH"/>
    <s v="达仁堂"/>
    <n v="0.112"/>
    <x v="9"/>
  </r>
  <r>
    <d v="2026-03-02T00:00:00"/>
    <s v="600332.SH"/>
    <s v="白云山"/>
    <n v="0.16300000000000001"/>
    <x v="9"/>
  </r>
  <r>
    <d v="2026-03-02T00:00:00"/>
    <s v="600339.SH"/>
    <s v="中油工程"/>
    <n v="6.5000000000000002E-2"/>
    <x v="15"/>
  </r>
  <r>
    <d v="2026-03-02T00:00:00"/>
    <s v="600348.SH"/>
    <s v="华阳股份"/>
    <n v="0.16700000000000001"/>
    <x v="16"/>
  </r>
  <r>
    <d v="2026-03-02T00:00:00"/>
    <s v="600352.SH"/>
    <s v="浙江龙盛"/>
    <n v="0.39100000000000001"/>
    <x v="14"/>
  </r>
  <r>
    <d v="2026-03-02T00:00:00"/>
    <s v="600363.SH"/>
    <s v="联创光电"/>
    <n v="0.21299999999999999"/>
    <x v="1"/>
  </r>
  <r>
    <d v="2026-03-02T00:00:00"/>
    <s v="600369.SH"/>
    <s v="西南证券"/>
    <n v="0.16700000000000001"/>
    <x v="8"/>
  </r>
  <r>
    <d v="2026-03-02T00:00:00"/>
    <s v="600378.SH"/>
    <s v="昊华科技"/>
    <n v="0.17899999999999999"/>
    <x v="14"/>
  </r>
  <r>
    <d v="2026-03-02T00:00:00"/>
    <s v="600380.SH"/>
    <s v="健康元"/>
    <n v="0.115"/>
    <x v="9"/>
  </r>
  <r>
    <d v="2026-03-02T00:00:00"/>
    <s v="600390.SH"/>
    <s v="五矿资本"/>
    <n v="0.11799999999999999"/>
    <x v="8"/>
  </r>
  <r>
    <d v="2026-03-02T00:00:00"/>
    <s v="600392.SH"/>
    <s v="盛和资源"/>
    <n v="0.432"/>
    <x v="6"/>
  </r>
  <r>
    <d v="2026-03-02T00:00:00"/>
    <s v="600398.SH"/>
    <s v="海澜之家"/>
    <n v="0.14299999999999999"/>
    <x v="30"/>
  </r>
  <r>
    <d v="2026-03-02T00:00:00"/>
    <s v="600435.SH"/>
    <s v="北方导航"/>
    <n v="0.16600000000000001"/>
    <x v="10"/>
  </r>
  <r>
    <d v="2026-03-02T00:00:00"/>
    <s v="600483.SH"/>
    <s v="福能股份"/>
    <n v="0.106"/>
    <x v="2"/>
  </r>
  <r>
    <d v="2026-03-02T00:00:00"/>
    <s v="600486.SH"/>
    <s v="扬农化工"/>
    <n v="0.18"/>
    <x v="14"/>
  </r>
  <r>
    <d v="2026-03-02T00:00:00"/>
    <s v="600487.SH"/>
    <s v="亨通光电"/>
    <n v="0.86"/>
    <x v="25"/>
  </r>
  <r>
    <d v="2026-03-02T00:00:00"/>
    <s v="600497.SH"/>
    <s v="驰宏锌锗"/>
    <n v="0.30599999999999999"/>
    <x v="6"/>
  </r>
  <r>
    <d v="2026-03-02T00:00:00"/>
    <s v="600498.SH"/>
    <s v="烽火通信"/>
    <n v="0.38600000000000001"/>
    <x v="25"/>
  </r>
  <r>
    <d v="2026-03-02T00:00:00"/>
    <s v="600499.SH"/>
    <s v="科达制造"/>
    <n v="0.19"/>
    <x v="5"/>
  </r>
  <r>
    <d v="2026-03-02T00:00:00"/>
    <s v="600511.SH"/>
    <s v="国药股份"/>
    <n v="0.10100000000000001"/>
    <x v="9"/>
  </r>
  <r>
    <d v="2026-03-02T00:00:00"/>
    <s v="600516.SH"/>
    <s v="方大炭素"/>
    <n v="0.16300000000000001"/>
    <x v="13"/>
  </r>
  <r>
    <d v="2026-03-02T00:00:00"/>
    <s v="600517.SH"/>
    <s v="国网英大"/>
    <n v="0.11700000000000001"/>
    <x v="8"/>
  </r>
  <r>
    <d v="2026-03-02T00:00:00"/>
    <s v="600521.SH"/>
    <s v="华海药业"/>
    <n v="0.154"/>
    <x v="9"/>
  </r>
  <r>
    <d v="2026-03-02T00:00:00"/>
    <s v="600528.SH"/>
    <s v="中铁工业"/>
    <n v="8.5999999999999993E-2"/>
    <x v="5"/>
  </r>
  <r>
    <d v="2026-03-02T00:00:00"/>
    <s v="600535.SH"/>
    <s v="天士力"/>
    <n v="9.9000000000000005E-2"/>
    <x v="9"/>
  </r>
  <r>
    <d v="2026-03-02T00:00:00"/>
    <s v="600536.SH"/>
    <s v="中国软件"/>
    <n v="0.22900000000000001"/>
    <x v="4"/>
  </r>
  <r>
    <d v="2026-03-02T00:00:00"/>
    <s v="600546.SH"/>
    <s v="山煤国际"/>
    <n v="0.107"/>
    <x v="16"/>
  </r>
  <r>
    <d v="2026-03-02T00:00:00"/>
    <s v="600549.SH"/>
    <s v="厦门钨业"/>
    <n v="0.71499999999999997"/>
    <x v="6"/>
  </r>
  <r>
    <d v="2026-03-02T00:00:00"/>
    <s v="600562.SH"/>
    <s v="国睿科技"/>
    <n v="0.13300000000000001"/>
    <x v="10"/>
  </r>
  <r>
    <d v="2026-03-02T00:00:00"/>
    <s v="600563.SH"/>
    <s v="法拉电子"/>
    <n v="0.14399999999999999"/>
    <x v="1"/>
  </r>
  <r>
    <d v="2026-03-02T00:00:00"/>
    <s v="600566.SH"/>
    <s v="济川药业"/>
    <n v="9.4E-2"/>
    <x v="9"/>
  </r>
  <r>
    <d v="2026-03-02T00:00:00"/>
    <s v="600578.SH"/>
    <s v="京能电力"/>
    <n v="0.10199999999999999"/>
    <x v="2"/>
  </r>
  <r>
    <d v="2026-03-02T00:00:00"/>
    <s v="600580.SH"/>
    <s v="卧龙电驱"/>
    <n v="0.45"/>
    <x v="0"/>
  </r>
  <r>
    <d v="2026-03-02T00:00:00"/>
    <s v="600582.SH"/>
    <s v="天地科技"/>
    <n v="9.2999999999999999E-2"/>
    <x v="5"/>
  </r>
  <r>
    <d v="2026-03-02T00:00:00"/>
    <s v="600583.SH"/>
    <s v="海油工程"/>
    <n v="0.14599999999999999"/>
    <x v="15"/>
  </r>
  <r>
    <d v="2026-03-02T00:00:00"/>
    <s v="600598.SH"/>
    <s v="北大荒"/>
    <n v="0.105"/>
    <x v="22"/>
  </r>
  <r>
    <d v="2026-03-02T00:00:00"/>
    <s v="600601.SH"/>
    <s v="方正科技"/>
    <n v="0.311"/>
    <x v="1"/>
  </r>
  <r>
    <d v="2026-03-02T00:00:00"/>
    <s v="600602.SH"/>
    <s v="云赛智联"/>
    <n v="0.13100000000000001"/>
    <x v="4"/>
  </r>
  <r>
    <d v="2026-03-02T00:00:00"/>
    <s v="600606.SH"/>
    <s v="绿地控股"/>
    <n v="6.6000000000000003E-2"/>
    <x v="24"/>
  </r>
  <r>
    <d v="2026-03-02T00:00:00"/>
    <s v="600637.SH"/>
    <s v="东方明珠"/>
    <n v="0.21299999999999999"/>
    <x v="26"/>
  </r>
  <r>
    <d v="2026-03-02T00:00:00"/>
    <s v="600642.SH"/>
    <s v="申能股份"/>
    <n v="0.154"/>
    <x v="2"/>
  </r>
  <r>
    <d v="2026-03-02T00:00:00"/>
    <s v="600655.SH"/>
    <s v="豫园股份"/>
    <n v="9.1999999999999998E-2"/>
    <x v="18"/>
  </r>
  <r>
    <d v="2026-03-02T00:00:00"/>
    <s v="600663.SH"/>
    <s v="陆家嘴"/>
    <n v="9.0999999999999998E-2"/>
    <x v="24"/>
  </r>
  <r>
    <d v="2026-03-02T00:00:00"/>
    <s v="600673.SH"/>
    <s v="东阳光"/>
    <n v="0.52200000000000002"/>
    <x v="31"/>
  </r>
  <r>
    <d v="2026-03-02T00:00:00"/>
    <s v="600685.SH"/>
    <s v="中船防务"/>
    <n v="0.14099999999999999"/>
    <x v="10"/>
  </r>
  <r>
    <d v="2026-03-02T00:00:00"/>
    <s v="600688.SH"/>
    <s v="上海石化"/>
    <n v="6.4000000000000001E-2"/>
    <x v="15"/>
  </r>
  <r>
    <d v="2026-03-02T00:00:00"/>
    <s v="600699.SH"/>
    <s v="均胜电子"/>
    <n v="0.251"/>
    <x v="11"/>
  </r>
  <r>
    <d v="2026-03-02T00:00:00"/>
    <s v="600704.SH"/>
    <s v="物产中大"/>
    <n v="0.16700000000000001"/>
    <x v="7"/>
  </r>
  <r>
    <d v="2026-03-02T00:00:00"/>
    <s v="600707.SH"/>
    <s v="彩虹股份"/>
    <n v="9.1999999999999998E-2"/>
    <x v="1"/>
  </r>
  <r>
    <d v="2026-03-02T00:00:00"/>
    <s v="600720.SH"/>
    <s v="中交设计"/>
    <n v="6.2E-2"/>
    <x v="3"/>
  </r>
  <r>
    <d v="2026-03-02T00:00:00"/>
    <s v="600737.SH"/>
    <s v="中粮糖业"/>
    <n v="0.154"/>
    <x v="22"/>
  </r>
  <r>
    <d v="2026-03-02T00:00:00"/>
    <s v="600739.SH"/>
    <s v="辽宁成大"/>
    <n v="0.10199999999999999"/>
    <x v="9"/>
  </r>
  <r>
    <d v="2026-03-02T00:00:00"/>
    <s v="600754.SH"/>
    <s v="锦江酒店"/>
    <n v="0.11799999999999999"/>
    <x v="27"/>
  </r>
  <r>
    <d v="2026-03-02T00:00:00"/>
    <s v="600763.SH"/>
    <s v="通策医疗"/>
    <n v="0.14499999999999999"/>
    <x v="9"/>
  </r>
  <r>
    <d v="2026-03-02T00:00:00"/>
    <s v="600764.SH"/>
    <s v="中国海防"/>
    <n v="7.5999999999999998E-2"/>
    <x v="10"/>
  </r>
  <r>
    <d v="2026-03-02T00:00:00"/>
    <s v="600765.SH"/>
    <s v="中航重机"/>
    <n v="0.218"/>
    <x v="10"/>
  </r>
  <r>
    <d v="2026-03-02T00:00:00"/>
    <s v="600801.SH"/>
    <s v="华新建材"/>
    <n v="0.14399999999999999"/>
    <x v="21"/>
  </r>
  <r>
    <d v="2026-03-02T00:00:00"/>
    <s v="600808.SH"/>
    <s v="马钢股份"/>
    <n v="9.0999999999999998E-2"/>
    <x v="13"/>
  </r>
  <r>
    <d v="2026-03-02T00:00:00"/>
    <s v="600816.SH"/>
    <s v="建元信托"/>
    <n v="0.105"/>
    <x v="8"/>
  </r>
  <r>
    <d v="2026-03-02T00:00:00"/>
    <s v="600820.SH"/>
    <s v="隧道股份"/>
    <n v="0.13400000000000001"/>
    <x v="3"/>
  </r>
  <r>
    <d v="2026-03-02T00:00:00"/>
    <s v="600848.SH"/>
    <s v="上海临港"/>
    <n v="9.9000000000000005E-2"/>
    <x v="24"/>
  </r>
  <r>
    <d v="2026-03-02T00:00:00"/>
    <s v="600862.SH"/>
    <s v="中航高科"/>
    <n v="0.20799999999999999"/>
    <x v="10"/>
  </r>
  <r>
    <d v="2026-03-02T00:00:00"/>
    <s v="600863.SH"/>
    <s v="内蒙华电"/>
    <n v="0.14599999999999999"/>
    <x v="2"/>
  </r>
  <r>
    <d v="2026-03-02T00:00:00"/>
    <s v="600871.SH"/>
    <s v="石化油服"/>
    <n v="0.12"/>
    <x v="15"/>
  </r>
  <r>
    <d v="2026-03-02T00:00:00"/>
    <s v="600873.SH"/>
    <s v="梅花生物"/>
    <n v="0.20599999999999999"/>
    <x v="14"/>
  </r>
  <r>
    <d v="2026-03-02T00:00:00"/>
    <s v="600879.SH"/>
    <s v="航天电子"/>
    <n v="0.625"/>
    <x v="10"/>
  </r>
  <r>
    <d v="2026-03-02T00:00:00"/>
    <s v="600884.SH"/>
    <s v="杉杉股份"/>
    <n v="0.249"/>
    <x v="0"/>
  </r>
  <r>
    <d v="2026-03-02T00:00:00"/>
    <s v="600885.SH"/>
    <s v="宏发股份"/>
    <n v="0.35399999999999998"/>
    <x v="0"/>
  </r>
  <r>
    <d v="2026-03-02T00:00:00"/>
    <s v="600901.SH"/>
    <s v="江苏金租"/>
    <n v="0.13700000000000001"/>
    <x v="8"/>
  </r>
  <r>
    <d v="2026-03-02T00:00:00"/>
    <s v="600906.SH"/>
    <s v="财达证券"/>
    <n v="8.2000000000000003E-2"/>
    <x v="8"/>
  </r>
  <r>
    <d v="2026-03-02T00:00:00"/>
    <s v="600909.SH"/>
    <s v="华安证券"/>
    <n v="0.16500000000000001"/>
    <x v="8"/>
  </r>
  <r>
    <d v="2026-03-02T00:00:00"/>
    <s v="600927.SH"/>
    <s v="永安期货"/>
    <n v="4.2000000000000003E-2"/>
    <x v="8"/>
  </r>
  <r>
    <d v="2026-03-02T00:00:00"/>
    <s v="600959.SH"/>
    <s v="江苏有线"/>
    <n v="9.6000000000000002E-2"/>
    <x v="26"/>
  </r>
  <r>
    <d v="2026-03-02T00:00:00"/>
    <s v="600967.SH"/>
    <s v="内蒙一机"/>
    <n v="0.13500000000000001"/>
    <x v="10"/>
  </r>
  <r>
    <d v="2026-03-02T00:00:00"/>
    <s v="600968.SH"/>
    <s v="海油发展"/>
    <n v="8.5000000000000006E-2"/>
    <x v="15"/>
  </r>
  <r>
    <d v="2026-03-02T00:00:00"/>
    <s v="600970.SH"/>
    <s v="中材国际"/>
    <n v="0.13300000000000001"/>
    <x v="3"/>
  </r>
  <r>
    <d v="2026-03-02T00:00:00"/>
    <s v="600977.SH"/>
    <s v="中国电影"/>
    <n v="0.10199999999999999"/>
    <x v="26"/>
  </r>
  <r>
    <d v="2026-03-02T00:00:00"/>
    <s v="600985.SH"/>
    <s v="淮北矿业"/>
    <n v="0.13400000000000001"/>
    <x v="16"/>
  </r>
  <r>
    <d v="2026-03-02T00:00:00"/>
    <s v="600988.SH"/>
    <s v="赤峰黄金"/>
    <n v="0.60899999999999999"/>
    <x v="6"/>
  </r>
  <r>
    <d v="2026-03-02T00:00:00"/>
    <s v="600995.SH"/>
    <s v="南网储能"/>
    <n v="0.13100000000000001"/>
    <x v="2"/>
  </r>
  <r>
    <d v="2026-03-02T00:00:00"/>
    <s v="600998.SH"/>
    <s v="九州通"/>
    <n v="0.122"/>
    <x v="9"/>
  </r>
  <r>
    <d v="2026-03-02T00:00:00"/>
    <s v="601000.SH"/>
    <s v="唐山港"/>
    <n v="0.11799999999999999"/>
    <x v="7"/>
  </r>
  <r>
    <d v="2026-03-02T00:00:00"/>
    <s v="601001.SH"/>
    <s v="晋控煤业"/>
    <n v="0.13"/>
    <x v="16"/>
  </r>
  <r>
    <d v="2026-03-02T00:00:00"/>
    <s v="601016.SH"/>
    <s v="节能风电"/>
    <n v="0.11700000000000001"/>
    <x v="2"/>
  </r>
  <r>
    <d v="2026-03-02T00:00:00"/>
    <s v="601019.SH"/>
    <s v="山东出版"/>
    <n v="5.2999999999999999E-2"/>
    <x v="26"/>
  </r>
  <r>
    <d v="2026-03-02T00:00:00"/>
    <s v="601061.SH"/>
    <s v="中信金属"/>
    <n v="7.9000000000000001E-2"/>
    <x v="18"/>
  </r>
  <r>
    <d v="2026-03-02T00:00:00"/>
    <s v="601098.SH"/>
    <s v="中南传媒"/>
    <n v="7.2999999999999995E-2"/>
    <x v="26"/>
  </r>
  <r>
    <d v="2026-03-02T00:00:00"/>
    <s v="601099.SH"/>
    <s v="太平洋"/>
    <n v="0.26100000000000001"/>
    <x v="8"/>
  </r>
  <r>
    <d v="2026-03-02T00:00:00"/>
    <s v="601106.SH"/>
    <s v="中国一重"/>
    <n v="0.16200000000000001"/>
    <x v="5"/>
  </r>
  <r>
    <d v="2026-03-02T00:00:00"/>
    <s v="601108.SH"/>
    <s v="财通证券"/>
    <n v="0.25900000000000001"/>
    <x v="8"/>
  </r>
  <r>
    <d v="2026-03-02T00:00:00"/>
    <s v="601118.SH"/>
    <s v="海南橡胶"/>
    <n v="0.121"/>
    <x v="22"/>
  </r>
  <r>
    <d v="2026-03-02T00:00:00"/>
    <s v="601128.SH"/>
    <s v="常熟银行"/>
    <n v="0.219"/>
    <x v="28"/>
  </r>
  <r>
    <d v="2026-03-02T00:00:00"/>
    <s v="601139.SH"/>
    <s v="深圳燃气"/>
    <n v="5.5E-2"/>
    <x v="2"/>
  </r>
  <r>
    <d v="2026-03-02T00:00:00"/>
    <s v="601155.SH"/>
    <s v="新城控股"/>
    <n v="0.13800000000000001"/>
    <x v="24"/>
  </r>
  <r>
    <d v="2026-03-02T00:00:00"/>
    <s v="601156.SH"/>
    <s v="东航物流"/>
    <n v="0.111"/>
    <x v="7"/>
  </r>
  <r>
    <d v="2026-03-02T00:00:00"/>
    <s v="601162.SH"/>
    <s v="天风证券"/>
    <n v="0.26500000000000001"/>
    <x v="8"/>
  </r>
  <r>
    <d v="2026-03-02T00:00:00"/>
    <s v="601168.SH"/>
    <s v="西部矿业"/>
    <n v="0.53"/>
    <x v="6"/>
  </r>
  <r>
    <d v="2026-03-02T00:00:00"/>
    <s v="601179.SH"/>
    <s v="中国西电"/>
    <n v="0.378"/>
    <x v="0"/>
  </r>
  <r>
    <d v="2026-03-02T00:00:00"/>
    <s v="601198.SH"/>
    <s v="东兴证券"/>
    <n v="0.248"/>
    <x v="8"/>
  </r>
  <r>
    <d v="2026-03-02T00:00:00"/>
    <s v="601212.SH"/>
    <s v="白银有色"/>
    <n v="0.29099999999999998"/>
    <x v="6"/>
  </r>
  <r>
    <d v="2026-03-02T00:00:00"/>
    <s v="601216.SH"/>
    <s v="君正集团"/>
    <n v="0.186"/>
    <x v="14"/>
  </r>
  <r>
    <d v="2026-03-02T00:00:00"/>
    <s v="601228.SH"/>
    <s v="广州港"/>
    <n v="0.05"/>
    <x v="7"/>
  </r>
  <r>
    <d v="2026-03-02T00:00:00"/>
    <s v="601231.SH"/>
    <s v="环旭电子"/>
    <n v="0.313"/>
    <x v="1"/>
  </r>
  <r>
    <d v="2026-03-02T00:00:00"/>
    <s v="601233.SH"/>
    <s v="桐昆股份"/>
    <n v="0.32200000000000001"/>
    <x v="15"/>
  </r>
  <r>
    <d v="2026-03-02T00:00:00"/>
    <s v="601333.SH"/>
    <s v="广深铁路"/>
    <n v="9.6000000000000002E-2"/>
    <x v="7"/>
  </r>
  <r>
    <d v="2026-03-02T00:00:00"/>
    <s v="601399.SH"/>
    <s v="国机重装"/>
    <n v="0.13900000000000001"/>
    <x v="5"/>
  </r>
  <r>
    <d v="2026-03-02T00:00:00"/>
    <s v="601555.SH"/>
    <s v="东吴证券"/>
    <n v="0.33900000000000002"/>
    <x v="8"/>
  </r>
  <r>
    <d v="2026-03-02T00:00:00"/>
    <s v="601567.SH"/>
    <s v="三星医疗"/>
    <n v="0.17"/>
    <x v="0"/>
  </r>
  <r>
    <d v="2026-03-02T00:00:00"/>
    <s v="601577.SH"/>
    <s v="长沙银行"/>
    <n v="0.217"/>
    <x v="28"/>
  </r>
  <r>
    <d v="2026-03-02T00:00:00"/>
    <s v="601598.SH"/>
    <s v="中国外运"/>
    <n v="8.5000000000000006E-2"/>
    <x v="7"/>
  </r>
  <r>
    <d v="2026-03-02T00:00:00"/>
    <s v="601608.SH"/>
    <s v="中信重工"/>
    <n v="0.13300000000000001"/>
    <x v="5"/>
  </r>
  <r>
    <d v="2026-03-02T00:00:00"/>
    <s v="601611.SH"/>
    <s v="中国核建"/>
    <n v="0.18099999999999999"/>
    <x v="3"/>
  </r>
  <r>
    <d v="2026-03-02T00:00:00"/>
    <s v="601615.SH"/>
    <s v="明阳智能"/>
    <n v="0.38"/>
    <x v="0"/>
  </r>
  <r>
    <d v="2026-03-02T00:00:00"/>
    <s v="601665.SH"/>
    <s v="齐鲁银行"/>
    <n v="0.22500000000000001"/>
    <x v="28"/>
  </r>
  <r>
    <d v="2026-03-02T00:00:00"/>
    <s v="601666.SH"/>
    <s v="平煤股份"/>
    <n v="0.121"/>
    <x v="16"/>
  </r>
  <r>
    <d v="2026-03-02T00:00:00"/>
    <s v="601696.SH"/>
    <s v="中银证券"/>
    <n v="0.219"/>
    <x v="8"/>
  </r>
  <r>
    <d v="2026-03-02T00:00:00"/>
    <s v="601699.SH"/>
    <s v="潞安环能"/>
    <n v="0.16300000000000001"/>
    <x v="16"/>
  </r>
  <r>
    <d v="2026-03-02T00:00:00"/>
    <s v="601717.SH"/>
    <s v="中创智领"/>
    <n v="0.248"/>
    <x v="5"/>
  </r>
  <r>
    <d v="2026-03-02T00:00:00"/>
    <s v="601799.SH"/>
    <s v="星宇股份"/>
    <n v="0.2"/>
    <x v="11"/>
  </r>
  <r>
    <d v="2026-03-02T00:00:00"/>
    <s v="601865.SH"/>
    <s v="福莱特"/>
    <n v="0.11899999999999999"/>
    <x v="0"/>
  </r>
  <r>
    <d v="2026-03-02T00:00:00"/>
    <s v="601866.SH"/>
    <s v="中远海发"/>
    <n v="0.104"/>
    <x v="7"/>
  </r>
  <r>
    <d v="2026-03-02T00:00:00"/>
    <s v="601880.SH"/>
    <s v="辽港股份"/>
    <n v="0.11700000000000001"/>
    <x v="7"/>
  </r>
  <r>
    <d v="2026-03-02T00:00:00"/>
    <s v="601918.SH"/>
    <s v="新集能源"/>
    <n v="0.11"/>
    <x v="16"/>
  </r>
  <r>
    <d v="2026-03-02T00:00:00"/>
    <s v="601921.SH"/>
    <s v="浙版传媒"/>
    <n v="3.3000000000000002E-2"/>
    <x v="26"/>
  </r>
  <r>
    <d v="2026-03-02T00:00:00"/>
    <s v="601928.SH"/>
    <s v="凤凰传媒"/>
    <n v="7.0000000000000007E-2"/>
    <x v="26"/>
  </r>
  <r>
    <d v="2026-03-02T00:00:00"/>
    <s v="601958.SH"/>
    <s v="金钼股份"/>
    <n v="0.218"/>
    <x v="6"/>
  </r>
  <r>
    <d v="2026-03-02T00:00:00"/>
    <s v="601965.SH"/>
    <s v="中国汽研"/>
    <n v="7.3999999999999996E-2"/>
    <x v="11"/>
  </r>
  <r>
    <d v="2026-03-02T00:00:00"/>
    <s v="601966.SH"/>
    <s v="玲珑轮胎"/>
    <n v="0.10299999999999999"/>
    <x v="11"/>
  </r>
  <r>
    <d v="2026-03-02T00:00:00"/>
    <s v="601990.SH"/>
    <s v="南京证券"/>
    <n v="0.159"/>
    <x v="8"/>
  </r>
  <r>
    <d v="2026-03-02T00:00:00"/>
    <s v="601991.SH"/>
    <s v="大唐发电"/>
    <n v="0.13600000000000001"/>
    <x v="2"/>
  </r>
  <r>
    <d v="2026-03-02T00:00:00"/>
    <s v="601997.SH"/>
    <s v="贵阳银行"/>
    <n v="0.156"/>
    <x v="28"/>
  </r>
  <r>
    <d v="2026-03-02T00:00:00"/>
    <s v="603000.SH"/>
    <s v="人民网"/>
    <n v="0.11799999999999999"/>
    <x v="26"/>
  </r>
  <r>
    <d v="2026-03-02T00:00:00"/>
    <s v="603049.SH"/>
    <s v="中策橡胶"/>
    <n v="4.3999999999999997E-2"/>
    <x v="11"/>
  </r>
  <r>
    <d v="2026-03-02T00:00:00"/>
    <s v="603077.SH"/>
    <s v="和邦生物"/>
    <n v="0.16600000000000001"/>
    <x v="14"/>
  </r>
  <r>
    <d v="2026-03-02T00:00:00"/>
    <s v="603087.SH"/>
    <s v="甘李药业"/>
    <n v="0.217"/>
    <x v="9"/>
  </r>
  <r>
    <d v="2026-03-02T00:00:00"/>
    <s v="603129.SH"/>
    <s v="春风动力"/>
    <n v="0.24199999999999999"/>
    <x v="11"/>
  </r>
  <r>
    <d v="2026-03-02T00:00:00"/>
    <s v="603156.SH"/>
    <s v="养元饮品"/>
    <n v="0.14000000000000001"/>
    <x v="17"/>
  </r>
  <r>
    <d v="2026-03-02T00:00:00"/>
    <s v="603160.SH"/>
    <s v="汇顶科技"/>
    <n v="0.2"/>
    <x v="1"/>
  </r>
  <r>
    <d v="2026-03-02T00:00:00"/>
    <s v="603179.SH"/>
    <s v="新泉股份"/>
    <n v="0.27700000000000002"/>
    <x v="11"/>
  </r>
  <r>
    <d v="2026-03-02T00:00:00"/>
    <s v="603225.SH"/>
    <s v="新凤鸣"/>
    <n v="0.11899999999999999"/>
    <x v="14"/>
  </r>
  <r>
    <d v="2026-03-02T00:00:00"/>
    <s v="603228.SH"/>
    <s v="景旺电子"/>
    <n v="0.3"/>
    <x v="1"/>
  </r>
  <r>
    <d v="2026-03-02T00:00:00"/>
    <s v="603233.SH"/>
    <s v="大参林"/>
    <n v="8.2000000000000003E-2"/>
    <x v="9"/>
  </r>
  <r>
    <d v="2026-03-02T00:00:00"/>
    <s v="603290.SH"/>
    <s v="斯达半导"/>
    <n v="0.12"/>
    <x v="1"/>
  </r>
  <r>
    <d v="2026-03-02T00:00:00"/>
    <s v="603298.SH"/>
    <s v="杭叉集团"/>
    <n v="0.14299999999999999"/>
    <x v="5"/>
  </r>
  <r>
    <d v="2026-03-02T00:00:00"/>
    <s v="603338.SH"/>
    <s v="浙江鼎力"/>
    <n v="0.13800000000000001"/>
    <x v="5"/>
  </r>
  <r>
    <d v="2026-03-02T00:00:00"/>
    <s v="603341.SH"/>
    <s v="龙旗科技"/>
    <n v="0.10100000000000001"/>
    <x v="1"/>
  </r>
  <r>
    <d v="2026-03-02T00:00:00"/>
    <s v="603345.SH"/>
    <s v="安井食品"/>
    <n v="0.18099999999999999"/>
    <x v="17"/>
  </r>
  <r>
    <d v="2026-03-02T00:00:00"/>
    <s v="603379.SH"/>
    <s v="三美股份"/>
    <n v="0.16400000000000001"/>
    <x v="14"/>
  </r>
  <r>
    <d v="2026-03-02T00:00:00"/>
    <s v="603444.SH"/>
    <s v="吉比特"/>
    <n v="0.16600000000000001"/>
    <x v="26"/>
  </r>
  <r>
    <d v="2026-03-02T00:00:00"/>
    <s v="603486.SH"/>
    <s v="科沃斯"/>
    <n v="0.14699999999999999"/>
    <x v="19"/>
  </r>
  <r>
    <d v="2026-03-02T00:00:00"/>
    <s v="603529.SH"/>
    <s v="爱玛科技"/>
    <n v="7.0000000000000007E-2"/>
    <x v="11"/>
  </r>
  <r>
    <d v="2026-03-02T00:00:00"/>
    <s v="603565.SH"/>
    <s v="中谷物流"/>
    <n v="8.4000000000000005E-2"/>
    <x v="7"/>
  </r>
  <r>
    <d v="2026-03-02T00:00:00"/>
    <s v="603568.SH"/>
    <s v="伟明环保"/>
    <n v="0.17599999999999999"/>
    <x v="12"/>
  </r>
  <r>
    <d v="2026-03-02T00:00:00"/>
    <s v="603589.SH"/>
    <s v="口子窖"/>
    <n v="0.108"/>
    <x v="17"/>
  </r>
  <r>
    <d v="2026-03-02T00:00:00"/>
    <s v="603596.SH"/>
    <s v="伯特利"/>
    <n v="0.215"/>
    <x v="11"/>
  </r>
  <r>
    <d v="2026-03-02T00:00:00"/>
    <s v="603605.SH"/>
    <s v="珀莱雅"/>
    <n v="0.155"/>
    <x v="29"/>
  </r>
  <r>
    <d v="2026-03-02T00:00:00"/>
    <s v="603606.SH"/>
    <s v="东方电缆"/>
    <n v="0.224"/>
    <x v="0"/>
  </r>
  <r>
    <d v="2026-03-02T00:00:00"/>
    <s v="603650.SH"/>
    <s v="彤程新材"/>
    <n v="0.13600000000000001"/>
    <x v="14"/>
  </r>
  <r>
    <d v="2026-03-02T00:00:00"/>
    <s v="603658.SH"/>
    <s v="安图生物"/>
    <n v="5.7000000000000002E-2"/>
    <x v="9"/>
  </r>
  <r>
    <d v="2026-03-02T00:00:00"/>
    <s v="603659.SH"/>
    <s v="璞泰来"/>
    <n v="0.27900000000000003"/>
    <x v="0"/>
  </r>
  <r>
    <d v="2026-03-02T00:00:00"/>
    <s v="603688.SH"/>
    <s v="石英股份"/>
    <n v="0.122"/>
    <x v="14"/>
  </r>
  <r>
    <d v="2026-03-02T00:00:00"/>
    <s v="603699.SH"/>
    <s v="纽威股份"/>
    <n v="0.159"/>
    <x v="5"/>
  </r>
  <r>
    <d v="2026-03-02T00:00:00"/>
    <s v="603707.SH"/>
    <s v="健友股份"/>
    <n v="4.3999999999999997E-2"/>
    <x v="9"/>
  </r>
  <r>
    <d v="2026-03-02T00:00:00"/>
    <s v="603728.SH"/>
    <s v="鸣志电器"/>
    <n v="0.13300000000000001"/>
    <x v="0"/>
  </r>
  <r>
    <d v="2026-03-02T00:00:00"/>
    <s v="603737.SH"/>
    <s v="三棵树"/>
    <n v="0.14199999999999999"/>
    <x v="21"/>
  </r>
  <r>
    <d v="2026-03-02T00:00:00"/>
    <s v="603766.SH"/>
    <s v="隆鑫通用"/>
    <n v="0.17799999999999999"/>
    <x v="11"/>
  </r>
  <r>
    <d v="2026-03-02T00:00:00"/>
    <s v="603786.SH"/>
    <s v="科博达"/>
    <n v="7.4999999999999997E-2"/>
    <x v="11"/>
  </r>
  <r>
    <d v="2026-03-02T00:00:00"/>
    <s v="603806.SH"/>
    <s v="福斯特"/>
    <n v="0.17299999999999999"/>
    <x v="0"/>
  </r>
  <r>
    <d v="2026-03-02T00:00:00"/>
    <s v="603816.SH"/>
    <s v="顾家家居"/>
    <n v="0.16200000000000001"/>
    <x v="20"/>
  </r>
  <r>
    <d v="2026-03-02T00:00:00"/>
    <s v="603833.SH"/>
    <s v="欧派家居"/>
    <n v="9.6000000000000002E-2"/>
    <x v="20"/>
  </r>
  <r>
    <d v="2026-03-02T00:00:00"/>
    <s v="603858.SH"/>
    <s v="步长制药"/>
    <n v="8.3000000000000004E-2"/>
    <x v="9"/>
  </r>
  <r>
    <d v="2026-03-02T00:00:00"/>
    <s v="603885.SH"/>
    <s v="吉祥航空"/>
    <n v="0.112"/>
    <x v="7"/>
  </r>
  <r>
    <d v="2026-03-02T00:00:00"/>
    <s v="603899.SH"/>
    <s v="晨光股份"/>
    <n v="9.1999999999999998E-2"/>
    <x v="20"/>
  </r>
  <r>
    <d v="2026-03-02T00:00:00"/>
    <s v="603920.SH"/>
    <s v="世运电路"/>
    <n v="0.26800000000000002"/>
    <x v="1"/>
  </r>
  <r>
    <d v="2026-03-02T00:00:00"/>
    <s v="603927.SH"/>
    <s v="中科软"/>
    <n v="0.10299999999999999"/>
    <x v="4"/>
  </r>
  <r>
    <d v="2026-03-02T00:00:00"/>
    <s v="603939.SH"/>
    <s v="益丰药房"/>
    <n v="0.13500000000000001"/>
    <x v="9"/>
  </r>
  <r>
    <d v="2026-03-02T00:00:00"/>
    <s v="603979.SH"/>
    <s v="金诚信"/>
    <n v="0.26600000000000001"/>
    <x v="6"/>
  </r>
  <r>
    <d v="2026-03-02T00:00:00"/>
    <s v="605358.SH"/>
    <s v="立昂微"/>
    <n v="0.20599999999999999"/>
    <x v="1"/>
  </r>
  <r>
    <d v="2026-03-02T00:00:00"/>
    <s v="605589.SH"/>
    <s v="圣泉集团"/>
    <n v="0.20899999999999999"/>
    <x v="14"/>
  </r>
  <r>
    <d v="2026-03-02T00:00:00"/>
    <s v="688002.SH"/>
    <s v="睿创微纳"/>
    <n v="0.39500000000000002"/>
    <x v="10"/>
  </r>
  <r>
    <d v="2026-03-02T00:00:00"/>
    <s v="688017.SH"/>
    <s v="绿的谐波"/>
    <n v="0.27400000000000002"/>
    <x v="5"/>
  </r>
  <r>
    <d v="2026-03-02T00:00:00"/>
    <s v="688018.SH"/>
    <s v="乐鑫科技"/>
    <n v="0.155"/>
    <x v="1"/>
  </r>
  <r>
    <d v="2026-03-02T00:00:00"/>
    <s v="688019.SH"/>
    <s v="安集科技"/>
    <n v="0.29099999999999998"/>
    <x v="1"/>
  </r>
  <r>
    <d v="2026-03-02T00:00:00"/>
    <s v="688027.SH"/>
    <s v="国盾量子"/>
    <n v="0.38400000000000001"/>
    <x v="25"/>
  </r>
  <r>
    <d v="2026-03-02T00:00:00"/>
    <s v="688037.SH"/>
    <s v="芯源微"/>
    <n v="0.32200000000000001"/>
    <x v="1"/>
  </r>
  <r>
    <d v="2026-03-02T00:00:00"/>
    <s v="688052.SH"/>
    <s v="纳芯微"/>
    <n v="0.17799999999999999"/>
    <x v="1"/>
  </r>
  <r>
    <d v="2026-03-02T00:00:00"/>
    <s v="688065.SH"/>
    <s v="凯赛生物"/>
    <n v="0.18099999999999999"/>
    <x v="14"/>
  </r>
  <r>
    <d v="2026-03-02T00:00:00"/>
    <s v="688099.SH"/>
    <s v="晶晨股份"/>
    <n v="0.29399999999999998"/>
    <x v="1"/>
  </r>
  <r>
    <d v="2026-03-02T00:00:00"/>
    <s v="688100.SH"/>
    <s v="威胜信息"/>
    <n v="5.8999999999999997E-2"/>
    <x v="25"/>
  </r>
  <r>
    <d v="2026-03-02T00:00:00"/>
    <s v="688114.SH"/>
    <s v="华大智造"/>
    <n v="0.14599999999999999"/>
    <x v="9"/>
  </r>
  <r>
    <d v="2026-03-02T00:00:00"/>
    <s v="688120.SH"/>
    <s v="华海清科"/>
    <n v="0.44"/>
    <x v="1"/>
  </r>
  <r>
    <d v="2026-03-02T00:00:00"/>
    <s v="688122.SH"/>
    <s v="西部超导"/>
    <n v="0.377"/>
    <x v="10"/>
  </r>
  <r>
    <d v="2026-03-02T00:00:00"/>
    <s v="688166.SH"/>
    <s v="博瑞医药"/>
    <n v="0.124"/>
    <x v="9"/>
  </r>
  <r>
    <d v="2026-03-02T00:00:00"/>
    <s v="688172.SH"/>
    <s v="燕东微"/>
    <n v="0.114"/>
    <x v="1"/>
  </r>
  <r>
    <d v="2026-03-02T00:00:00"/>
    <s v="688180.SH"/>
    <s v="君实生物"/>
    <n v="0.16700000000000001"/>
    <x v="9"/>
  </r>
  <r>
    <d v="2026-03-02T00:00:00"/>
    <s v="688183.SH"/>
    <s v="生益电子"/>
    <n v="0.19700000000000001"/>
    <x v="1"/>
  </r>
  <r>
    <d v="2026-03-02T00:00:00"/>
    <s v="688188.SH"/>
    <s v="柏楚电子"/>
    <n v="0.161"/>
    <x v="4"/>
  </r>
  <r>
    <d v="2026-03-02T00:00:00"/>
    <s v="688192.SH"/>
    <s v="迪哲医药"/>
    <n v="6.5000000000000002E-2"/>
    <x v="9"/>
  </r>
  <r>
    <d v="2026-03-02T00:00:00"/>
    <s v="688213.SH"/>
    <s v="思特威"/>
    <n v="0.251"/>
    <x v="1"/>
  </r>
  <r>
    <d v="2026-03-02T00:00:00"/>
    <s v="688220.SH"/>
    <s v="翱捷科技"/>
    <n v="0.22500000000000001"/>
    <x v="1"/>
  </r>
  <r>
    <d v="2026-03-02T00:00:00"/>
    <s v="688234.SH"/>
    <s v="天岳先进"/>
    <n v="0.184"/>
    <x v="1"/>
  </r>
  <r>
    <d v="2026-03-02T00:00:00"/>
    <s v="688235.SH"/>
    <s v="百济神州"/>
    <n v="0.27200000000000002"/>
    <x v="9"/>
  </r>
  <r>
    <d v="2026-03-02T00:00:00"/>
    <s v="688248.SH"/>
    <s v="南网科技"/>
    <n v="8.2000000000000003E-2"/>
    <x v="0"/>
  </r>
  <r>
    <d v="2026-03-02T00:00:00"/>
    <s v="688266.SH"/>
    <s v="泽璟制药"/>
    <n v="0.14000000000000001"/>
    <x v="9"/>
  </r>
  <r>
    <d v="2026-03-02T00:00:00"/>
    <s v="688278.SH"/>
    <s v="特宝生物"/>
    <n v="0.113"/>
    <x v="9"/>
  </r>
  <r>
    <d v="2026-03-02T00:00:00"/>
    <s v="688281.SH"/>
    <s v="华秦科技"/>
    <n v="0.126"/>
    <x v="10"/>
  </r>
  <r>
    <d v="2026-03-02T00:00:00"/>
    <s v="688295.SH"/>
    <s v="中复神鹰"/>
    <n v="5.2999999999999999E-2"/>
    <x v="14"/>
  </r>
  <r>
    <d v="2026-03-02T00:00:00"/>
    <s v="688297.SH"/>
    <s v="中无人机"/>
    <n v="0.124"/>
    <x v="10"/>
  </r>
  <r>
    <d v="2026-03-02T00:00:00"/>
    <s v="688301.SH"/>
    <s v="奕瑞科技"/>
    <n v="0.14099999999999999"/>
    <x v="9"/>
  </r>
  <r>
    <d v="2026-03-02T00:00:00"/>
    <s v="688318.SH"/>
    <s v="财富趋势"/>
    <n v="0.09"/>
    <x v="4"/>
  </r>
  <r>
    <d v="2026-03-02T00:00:00"/>
    <s v="688322.SH"/>
    <s v="奥比中光"/>
    <n v="0.16800000000000001"/>
    <x v="1"/>
  </r>
  <r>
    <d v="2026-03-02T00:00:00"/>
    <s v="688336.SH"/>
    <s v="三生国健"/>
    <n v="6.7000000000000004E-2"/>
    <x v="9"/>
  </r>
  <r>
    <d v="2026-03-02T00:00:00"/>
    <s v="688347.SH"/>
    <s v="华虹公司"/>
    <n v="0.47399999999999998"/>
    <x v="1"/>
  </r>
  <r>
    <d v="2026-03-02T00:00:00"/>
    <s v="688349.SH"/>
    <s v="三一重能"/>
    <n v="0.06"/>
    <x v="0"/>
  </r>
  <r>
    <d v="2026-03-02T00:00:00"/>
    <s v="688361.SH"/>
    <s v="中科飞测"/>
    <n v="0.38"/>
    <x v="1"/>
  </r>
  <r>
    <d v="2026-03-02T00:00:00"/>
    <s v="688363.SH"/>
    <s v="华熙生物"/>
    <n v="8.4000000000000005E-2"/>
    <x v="29"/>
  </r>
  <r>
    <d v="2026-03-02T00:00:00"/>
    <s v="688375.SH"/>
    <s v="国博电子"/>
    <n v="0.20200000000000001"/>
    <x v="10"/>
  </r>
  <r>
    <d v="2026-03-02T00:00:00"/>
    <s v="688385.SH"/>
    <s v="复旦微电"/>
    <n v="0.29599999999999999"/>
    <x v="1"/>
  </r>
  <r>
    <d v="2026-03-02T00:00:00"/>
    <s v="688387.SH"/>
    <s v="信科移动"/>
    <n v="0.218"/>
    <x v="25"/>
  </r>
  <r>
    <d v="2026-03-02T00:00:00"/>
    <s v="688425.SH"/>
    <s v="铁建重工"/>
    <n v="0.08"/>
    <x v="5"/>
  </r>
  <r>
    <d v="2026-03-02T00:00:00"/>
    <s v="688469.SH"/>
    <s v="芯联集成"/>
    <n v="0.35899999999999999"/>
    <x v="1"/>
  </r>
  <r>
    <d v="2026-03-02T00:00:00"/>
    <s v="688475.SH"/>
    <s v="萤石网络"/>
    <n v="4.2999999999999997E-2"/>
    <x v="4"/>
  </r>
  <r>
    <d v="2026-03-02T00:00:00"/>
    <s v="688520.SH"/>
    <s v="神州细胞"/>
    <n v="4.8000000000000001E-2"/>
    <x v="9"/>
  </r>
  <r>
    <d v="2026-03-02T00:00:00"/>
    <s v="688525.SH"/>
    <s v="佰维存储"/>
    <n v="0.497"/>
    <x v="1"/>
  </r>
  <r>
    <d v="2026-03-02T00:00:00"/>
    <s v="688538.SH"/>
    <s v="和辉光电"/>
    <n v="0.13200000000000001"/>
    <x v="1"/>
  </r>
  <r>
    <d v="2026-03-02T00:00:00"/>
    <s v="688561.SH"/>
    <s v="奇安信"/>
    <n v="0.09"/>
    <x v="4"/>
  </r>
  <r>
    <d v="2026-03-02T00:00:00"/>
    <s v="688563.SH"/>
    <s v="航材股份"/>
    <n v="9.0999999999999998E-2"/>
    <x v="10"/>
  </r>
  <r>
    <d v="2026-03-02T00:00:00"/>
    <s v="688568.SH"/>
    <s v="中科星图"/>
    <n v="0.251"/>
    <x v="4"/>
  </r>
  <r>
    <d v="2026-03-02T00:00:00"/>
    <s v="688578.SH"/>
    <s v="艾力斯"/>
    <n v="0.23"/>
    <x v="9"/>
  </r>
  <r>
    <d v="2026-03-02T00:00:00"/>
    <s v="688582.SH"/>
    <s v="芯动联科"/>
    <n v="0.123"/>
    <x v="1"/>
  </r>
  <r>
    <d v="2026-03-02T00:00:00"/>
    <s v="688599.SH"/>
    <s v="天合光能"/>
    <n v="0.246"/>
    <x v="0"/>
  </r>
  <r>
    <d v="2026-03-02T00:00:00"/>
    <s v="688608.SH"/>
    <s v="恒玄科技"/>
    <n v="0.224"/>
    <x v="1"/>
  </r>
  <r>
    <d v="2026-03-02T00:00:00"/>
    <s v="688615.SH"/>
    <s v="合合信息"/>
    <n v="0.14499999999999999"/>
    <x v="4"/>
  </r>
  <r>
    <d v="2026-03-02T00:00:00"/>
    <s v="688617.SH"/>
    <s v="惠泰医疗"/>
    <n v="0.191"/>
    <x v="9"/>
  </r>
  <r>
    <d v="2026-03-02T00:00:00"/>
    <s v="688629.SH"/>
    <s v="华丰科技"/>
    <n v="0.217"/>
    <x v="10"/>
  </r>
  <r>
    <d v="2026-03-02T00:00:00"/>
    <s v="688676.SH"/>
    <s v="金盘科技"/>
    <n v="0.255"/>
    <x v="0"/>
  </r>
  <r>
    <d v="2026-03-02T00:00:00"/>
    <s v="688692.SH"/>
    <s v="达梦数据"/>
    <n v="0.13300000000000001"/>
    <x v="4"/>
  </r>
  <r>
    <d v="2026-03-02T00:00:00"/>
    <s v="688702.SH"/>
    <s v="盛科通信"/>
    <n v="0.222"/>
    <x v="1"/>
  </r>
  <r>
    <d v="2026-03-02T00:00:00"/>
    <s v="688709.SH"/>
    <s v="成都华微"/>
    <n v="8.3000000000000004E-2"/>
    <x v="1"/>
  </r>
  <r>
    <d v="2026-03-02T00:00:00"/>
    <s v="688728.SH"/>
    <s v="格科微"/>
    <n v="0.121"/>
    <x v="1"/>
  </r>
  <r>
    <d v="2026-03-02T00:00:00"/>
    <s v="688772.SH"/>
    <s v="珠海冠宇"/>
    <n v="0.11700000000000001"/>
    <x v="0"/>
  </r>
  <r>
    <d v="2026-03-02T00:00:00"/>
    <s v="688777.SH"/>
    <s v="中控技术"/>
    <n v="0.46600000000000003"/>
    <x v="5"/>
  </r>
  <r>
    <d v="2026-03-02T00:00:00"/>
    <s v="688778.SH"/>
    <s v="厦钨新能"/>
    <n v="0.154"/>
    <x v="0"/>
  </r>
  <r>
    <d v="2026-03-02T00:00:00"/>
    <s v="688819.SH"/>
    <s v="天能股份"/>
    <n v="4.2000000000000003E-2"/>
    <x v="0"/>
  </r>
  <r>
    <d v="2026-03-02T00:00:00"/>
    <s v="689009.SH"/>
    <s v="九号公司"/>
    <n v="0.26800000000000002"/>
    <x v="11"/>
  </r>
  <r>
    <d v="2025-12-22T00:00:00"/>
    <s v="688819.SH"/>
    <s v="天能股份"/>
    <n v="0.05"/>
    <x v="0"/>
  </r>
  <r>
    <d v="2025-12-22T00:00:00"/>
    <s v="689009.SH"/>
    <s v="九号公司"/>
    <n v="0.373"/>
    <x v="1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50">
  <r>
    <d v="2026-03-23T00:00:00"/>
    <s v="300002.SZ"/>
    <s v="神州泰岳"/>
    <n v="0.49049999999999999"/>
    <x v="0"/>
    <n v="-5.0141911069063003E-2"/>
  </r>
  <r>
    <d v="2026-03-23T00:00:00"/>
    <s v="300014.SZ"/>
    <s v="亿纬锂能"/>
    <n v="1.8591"/>
    <x v="1"/>
    <n v="3.7818821459981999E-2"/>
  </r>
  <r>
    <d v="2026-03-23T00:00:00"/>
    <s v="300015.SZ"/>
    <s v="爱尔眼科"/>
    <n v="1.0341"/>
    <x v="2"/>
    <n v="-1.7716535433070998E-2"/>
  </r>
  <r>
    <d v="2026-03-23T00:00:00"/>
    <s v="300017.SZ"/>
    <s v="网宿科技"/>
    <n v="0.95409999999999995"/>
    <x v="3"/>
    <n v="-1.2394366197183E-2"/>
  </r>
  <r>
    <d v="2026-03-23T00:00:00"/>
    <s v="300024.SZ"/>
    <s v="机器人"/>
    <n v="0.46589999999999998"/>
    <x v="4"/>
    <n v="-5.9466019417476E-2"/>
  </r>
  <r>
    <d v="2026-03-23T00:00:00"/>
    <s v="300033.SZ"/>
    <s v="同花顺"/>
    <n v="1.5253000000000001"/>
    <x v="3"/>
    <n v="-6.5371802124583002E-3"/>
  </r>
  <r>
    <d v="2026-03-23T00:00:00"/>
    <s v="300058.SZ"/>
    <s v="蓝色光标"/>
    <n v="1.4961"/>
    <x v="0"/>
    <n v="-3.1375166889185999E-2"/>
  </r>
  <r>
    <d v="2026-03-23T00:00:00"/>
    <s v="300059.SZ"/>
    <s v="东方财富"/>
    <n v="6.516"/>
    <x v="5"/>
    <n v="-4.2180094786730002E-2"/>
  </r>
  <r>
    <d v="2026-03-23T00:00:00"/>
    <s v="300073.SZ"/>
    <s v="当升科技"/>
    <n v="0.51480000000000004"/>
    <x v="1"/>
    <n v="-4.2056074766354999E-2"/>
  </r>
  <r>
    <d v="2026-03-23T00:00:00"/>
    <s v="300115.SZ"/>
    <s v="长盈精密"/>
    <n v="0.81940000000000002"/>
    <x v="6"/>
    <n v="-8.1532699510227999E-2"/>
  </r>
  <r>
    <d v="2026-03-23T00:00:00"/>
    <s v="300122.SZ"/>
    <s v="智飞生物"/>
    <n v="0.43709999999999999"/>
    <x v="2"/>
    <n v="-3.2138442521631998E-2"/>
  </r>
  <r>
    <d v="2026-03-23T00:00:00"/>
    <s v="300124.SZ"/>
    <s v="汇川技术"/>
    <n v="3.2299000000000002"/>
    <x v="4"/>
    <n v="-5.5502129413381E-2"/>
  </r>
  <r>
    <d v="2026-03-23T00:00:00"/>
    <s v="300136.SZ"/>
    <s v="信维通信"/>
    <n v="1.3836999999999999"/>
    <x v="6"/>
    <n v="-2.3857788866364998E-2"/>
  </r>
  <r>
    <d v="2026-03-23T00:00:00"/>
    <s v="300207.SZ"/>
    <s v="欣旺达"/>
    <n v="0.79679999999999995"/>
    <x v="1"/>
    <n v="1.1816838995568998E-2"/>
  </r>
  <r>
    <d v="2026-03-23T00:00:00"/>
    <s v="300223.SZ"/>
    <s v="北京君正"/>
    <n v="1.0282"/>
    <x v="6"/>
    <n v="5.4553084347460003E-3"/>
  </r>
  <r>
    <d v="2026-03-23T00:00:00"/>
    <s v="300251.SZ"/>
    <s v="光线传媒"/>
    <n v="0.62039999999999995"/>
    <x v="0"/>
    <n v="-5.5961070559610998E-2"/>
  </r>
  <r>
    <d v="2026-03-23T00:00:00"/>
    <s v="300255.SZ"/>
    <s v="常山药业"/>
    <n v="0.69059999999999999"/>
    <x v="2"/>
    <n v="-8.442956230566899E-2"/>
  </r>
  <r>
    <d v="2026-03-23T00:00:00"/>
    <s v="300274.SZ"/>
    <s v="阳光电源"/>
    <n v="4.8080999999999996"/>
    <x v="1"/>
    <n v="-1.0205827014082999E-2"/>
  </r>
  <r>
    <d v="2026-03-23T00:00:00"/>
    <s v="300308.SZ"/>
    <s v="中际旭创"/>
    <n v="10.263"/>
    <x v="7"/>
    <n v="0.12910962695104"/>
  </r>
  <r>
    <d v="2026-03-23T00:00:00"/>
    <s v="300316.SZ"/>
    <s v="晶盛机电"/>
    <n v="0.76470000000000005"/>
    <x v="1"/>
    <n v="-3.1137470874814999E-2"/>
  </r>
  <r>
    <d v="2026-03-23T00:00:00"/>
    <s v="300339.SZ"/>
    <s v="润和软件"/>
    <n v="0.8851"/>
    <x v="3"/>
    <n v="-7.8396436525611998E-2"/>
  </r>
  <r>
    <d v="2026-03-23T00:00:00"/>
    <s v="300346.SZ"/>
    <s v="南大光电"/>
    <n v="0.75549999999999995"/>
    <x v="6"/>
    <n v="-7.4632790789996004E-2"/>
  </r>
  <r>
    <d v="2026-03-23T00:00:00"/>
    <s v="300347.SZ"/>
    <s v="泰格医药"/>
    <n v="0.70589999999999997"/>
    <x v="2"/>
    <n v="-8.8913082925059006E-2"/>
  </r>
  <r>
    <d v="2026-03-23T00:00:00"/>
    <s v="300373.SZ"/>
    <s v="扬杰科技"/>
    <n v="0.56569999999999998"/>
    <x v="6"/>
    <n v="-4.7927461139896002E-2"/>
  </r>
  <r>
    <d v="2026-03-23T00:00:00"/>
    <s v="300394.SZ"/>
    <s v="天孚通信"/>
    <n v="3.6545000000000001"/>
    <x v="7"/>
    <n v="-0.04"/>
  </r>
  <r>
    <d v="2026-03-23T00:00:00"/>
    <s v="300395.SZ"/>
    <s v="菲利华"/>
    <n v="1.2726999999999999"/>
    <x v="8"/>
    <n v="-0.14073748902546002"/>
  </r>
  <r>
    <d v="2026-03-23T00:00:00"/>
    <s v="300408.SZ"/>
    <s v="三环集团"/>
    <n v="1.7758"/>
    <x v="6"/>
    <n v="-5.2929366672749998E-3"/>
  </r>
  <r>
    <d v="2026-03-23T00:00:00"/>
    <s v="300418.SZ"/>
    <s v="昆仑万维"/>
    <n v="1.169"/>
    <x v="0"/>
    <n v="6.1571965947337007E-2"/>
  </r>
  <r>
    <d v="2026-03-23T00:00:00"/>
    <s v="300433.SZ"/>
    <s v="蓝思科技"/>
    <n v="1.5314000000000001"/>
    <x v="6"/>
    <n v="-6.8549666772453E-2"/>
  </r>
  <r>
    <d v="2026-03-23T00:00:00"/>
    <s v="300442.SZ"/>
    <s v="润泽科技"/>
    <n v="1.5887"/>
    <x v="7"/>
    <n v="2.9087862101986998E-2"/>
  </r>
  <r>
    <d v="2026-03-23T00:00:00"/>
    <s v="300450.SZ"/>
    <s v="先导智能"/>
    <n v="1.3494999999999999"/>
    <x v="1"/>
    <n v="-5.5684007707129002E-2"/>
  </r>
  <r>
    <d v="2026-03-23T00:00:00"/>
    <s v="300458.SZ"/>
    <s v="全志科技"/>
    <n v="0.56830000000000003"/>
    <x v="6"/>
    <n v="-4.4922913343966003E-2"/>
  </r>
  <r>
    <d v="2026-03-23T00:00:00"/>
    <s v="300474.SZ"/>
    <s v="景嘉微"/>
    <n v="0.55479999999999996"/>
    <x v="8"/>
    <n v="-3.2487623762375E-3"/>
  </r>
  <r>
    <d v="2026-03-23T00:00:00"/>
    <s v="300476.SZ"/>
    <s v="胜宏科技"/>
    <n v="4.1612999999999998"/>
    <x v="6"/>
    <n v="1.7611328756784001E-3"/>
  </r>
  <r>
    <d v="2026-03-23T00:00:00"/>
    <s v="300496.SZ"/>
    <s v="中科创达"/>
    <n v="0.57340000000000002"/>
    <x v="3"/>
    <n v="-6.4487236901030004E-2"/>
  </r>
  <r>
    <d v="2026-03-23T00:00:00"/>
    <s v="300502.SZ"/>
    <s v="新易盛"/>
    <n v="7.1985000000000001"/>
    <x v="7"/>
    <n v="0.21069461716113"/>
  </r>
  <r>
    <d v="2026-03-23T00:00:00"/>
    <s v="300548.SZ"/>
    <s v="长芯博创"/>
    <n v="0.73160000000000003"/>
    <x v="7"/>
    <n v="-8.0075542965061003E-2"/>
  </r>
  <r>
    <d v="2026-03-23T00:00:00"/>
    <s v="300604.SZ"/>
    <s v="长川科技"/>
    <n v="1.409"/>
    <x v="6"/>
    <n v="-4.6698872785829E-3"/>
  </r>
  <r>
    <d v="2026-03-23T00:00:00"/>
    <s v="300724.SZ"/>
    <s v="捷佳伟创"/>
    <n v="0.75460000000000005"/>
    <x v="1"/>
    <n v="5.4135706703682E-2"/>
  </r>
  <r>
    <d v="2026-03-23T00:00:00"/>
    <s v="300748.SZ"/>
    <s v="金力永磁"/>
    <n v="0.62609999999999999"/>
    <x v="9"/>
    <n v="-9.3482748451784003E-2"/>
  </r>
  <r>
    <d v="2026-03-23T00:00:00"/>
    <s v="300750.SZ"/>
    <s v="宁德时代"/>
    <n v="19.721699999999998"/>
    <x v="1"/>
    <n v="4.0302267002519002E-2"/>
  </r>
  <r>
    <d v="2026-03-23T00:00:00"/>
    <s v="300759.SZ"/>
    <s v="康龙化成"/>
    <n v="0.62619999999999998"/>
    <x v="2"/>
    <n v="-5.5055775458798001E-2"/>
  </r>
  <r>
    <d v="2026-03-23T00:00:00"/>
    <s v="300760.SZ"/>
    <s v="迈瑞医疗"/>
    <n v="2.5421"/>
    <x v="2"/>
    <n v="-5.0680405443243003E-2"/>
  </r>
  <r>
    <d v="2026-03-23T00:00:00"/>
    <s v="300763.SZ"/>
    <s v="锦浪科技"/>
    <n v="0.41770000000000002"/>
    <x v="1"/>
    <n v="0.15839472663823001"/>
  </r>
  <r>
    <d v="2026-03-23T00:00:00"/>
    <s v="300782.SZ"/>
    <s v="卓胜微"/>
    <n v="0.61939999999999995"/>
    <x v="6"/>
    <n v="0.13456464379947"/>
  </r>
  <r>
    <d v="2026-03-23T00:00:00"/>
    <s v="300803.SZ"/>
    <s v="指南针"/>
    <n v="0.96650000000000003"/>
    <x v="3"/>
    <n v="-1.8107872567056999E-2"/>
  </r>
  <r>
    <d v="2026-03-23T00:00:00"/>
    <s v="300857.SZ"/>
    <s v="协创数据"/>
    <n v="1.3466"/>
    <x v="6"/>
    <n v="-0.11446342744053001"/>
  </r>
  <r>
    <d v="2026-03-23T00:00:00"/>
    <s v="301236.SZ"/>
    <s v="软通动力"/>
    <n v="0.68169999999999997"/>
    <x v="3"/>
    <n v="-0.13318729463307999"/>
  </r>
  <r>
    <d v="2026-03-23T00:00:00"/>
    <s v="301308.SZ"/>
    <s v="江波龙"/>
    <n v="1.0528"/>
    <x v="6"/>
    <n v="1.2048931538768E-2"/>
  </r>
  <r>
    <d v="2026-03-23T00:00:00"/>
    <s v="302132.SZ"/>
    <s v="中航成飞"/>
    <n v="0.496"/>
    <x v="8"/>
    <n v="-6.8605927552140997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8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N18:O29" firstHeaderRow="1" firstDataRow="1" firstDataCol="1"/>
  <pivotFields count="6">
    <pivotField numFmtId="183" showAll="0"/>
    <pivotField showAll="0"/>
    <pivotField showAll="0"/>
    <pivotField dataField="1" numFmtId="182" showAll="0"/>
    <pivotField axis="axisRow" showAll="0" sortType="descending">
      <items count="12">
        <item m="1" x="10"/>
        <item x="1"/>
        <item x="0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0" showAll="0"/>
  </pivotFields>
  <rowFields count="1">
    <field x="4"/>
  </rowFields>
  <rowItems count="11">
    <i>
      <x v="1"/>
    </i>
    <i>
      <x v="8"/>
    </i>
    <i>
      <x v="7"/>
    </i>
    <i>
      <x v="6"/>
    </i>
    <i>
      <x v="3"/>
    </i>
    <i>
      <x v="4"/>
    </i>
    <i>
      <x v="2"/>
    </i>
    <i>
      <x v="5"/>
    </i>
    <i>
      <x v="9"/>
    </i>
    <i>
      <x v="10"/>
    </i>
    <i t="grand">
      <x/>
    </i>
  </rowItems>
  <colItems count="1">
    <i/>
  </colItems>
  <dataFields count="1">
    <dataField name="求和项:最新权重" fld="3" baseField="0" baseItem="0" numFmtId="2"/>
  </dataFields>
  <formats count="4">
    <format dxfId="21">
      <pivotArea outline="0" collapsedLevelsAreSubtotals="1" fieldPosition="0"/>
    </format>
    <format dxfId="20">
      <pivotArea outline="0" collapsedLevelsAreSubtotals="1" fieldPosition="0"/>
    </format>
    <format dxfId="19">
      <pivotArea outline="0" collapsedLevelsAreSubtotals="1" fieldPosition="0"/>
    </format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1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B31:C50" firstHeaderRow="1" firstDataRow="1" firstDataCol="1"/>
  <pivotFields count="5">
    <pivotField numFmtId="183" showAll="0"/>
    <pivotField showAll="0"/>
    <pivotField showAll="0"/>
    <pivotField dataField="1" numFmtId="182" showAll="0"/>
    <pivotField axis="axisRow" showAll="0">
      <items count="20">
        <item x="1"/>
        <item x="0"/>
        <item x="6"/>
        <item x="16"/>
        <item x="7"/>
        <item x="11"/>
        <item m="1" x="18"/>
        <item x="5"/>
        <item x="12"/>
        <item x="4"/>
        <item x="15"/>
        <item x="13"/>
        <item x="3"/>
        <item x="9"/>
        <item x="10"/>
        <item x="2"/>
        <item x="14"/>
        <item x="8"/>
        <item x="17"/>
        <item t="default"/>
      </items>
    </pivotField>
  </pivotFields>
  <rowFields count="1">
    <field x="4"/>
  </rowFields>
  <rowItems count="19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求和项:最新权重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3" cacheId="2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B54:C64" firstHeaderRow="1" firstDataRow="1" firstDataCol="1"/>
  <pivotFields count="5">
    <pivotField numFmtId="183" showAll="0"/>
    <pivotField showAll="0"/>
    <pivotField showAll="0"/>
    <pivotField dataField="1" numFmtId="182" showAll="0"/>
    <pivotField axis="axisRow" showAll="0">
      <items count="11">
        <item x="7"/>
        <item x="0"/>
        <item x="5"/>
        <item x="1"/>
        <item x="2"/>
        <item x="3"/>
        <item x="6"/>
        <item m="1" x="9"/>
        <item x="8"/>
        <item x="4"/>
        <item t="default"/>
      </items>
    </pivotField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 t="grand">
      <x/>
    </i>
  </rowItems>
  <colItems count="1">
    <i/>
  </colItems>
  <dataFields count="1">
    <dataField name="求和项:最新权重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4" cacheId="3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B73:C103" firstHeaderRow="1" firstDataRow="1" firstDataCol="1"/>
  <pivotFields count="5">
    <pivotField numFmtId="183" showAll="0"/>
    <pivotField showAll="0"/>
    <pivotField showAll="0"/>
    <pivotField dataField="1" numFmtId="182" showAll="0"/>
    <pivotField axis="axisRow" showAll="0">
      <items count="30">
        <item x="20"/>
        <item x="21"/>
        <item x="3"/>
        <item x="1"/>
        <item x="25"/>
        <item x="5"/>
        <item x="12"/>
        <item x="22"/>
        <item x="13"/>
        <item x="4"/>
        <item x="15"/>
        <item x="17"/>
        <item x="7"/>
        <item x="14"/>
        <item x="26"/>
        <item x="19"/>
        <item x="18"/>
        <item x="24"/>
        <item x="16"/>
        <item x="8"/>
        <item x="28"/>
        <item x="27"/>
        <item x="6"/>
        <item x="11"/>
        <item x="2"/>
        <item x="10"/>
        <item x="0"/>
        <item x="9"/>
        <item x="23"/>
        <item t="default"/>
      </items>
    </pivotField>
  </pivotFields>
  <rowFields count="1">
    <field x="4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求和项:最新权重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数据透视表5" cacheId="4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B106:C139" firstHeaderRow="1" firstDataRow="1" firstDataCol="1"/>
  <pivotFields count="5">
    <pivotField numFmtId="183" showAll="0"/>
    <pivotField showAll="0"/>
    <pivotField showAll="0"/>
    <pivotField dataField="1" numFmtId="182" showAll="0"/>
    <pivotField axis="axisRow" showAll="0">
      <items count="33">
        <item x="26"/>
        <item x="0"/>
        <item x="1"/>
        <item x="24"/>
        <item x="30"/>
        <item x="8"/>
        <item x="13"/>
        <item x="2"/>
        <item x="10"/>
        <item x="12"/>
        <item x="5"/>
        <item x="14"/>
        <item x="4"/>
        <item x="19"/>
        <item x="21"/>
        <item x="3"/>
        <item x="7"/>
        <item x="16"/>
        <item x="29"/>
        <item x="22"/>
        <item x="11"/>
        <item x="20"/>
        <item x="18"/>
        <item x="27"/>
        <item x="15"/>
        <item x="17"/>
        <item x="25"/>
        <item x="9"/>
        <item x="28"/>
        <item x="6"/>
        <item x="31"/>
        <item x="23"/>
        <item t="default"/>
      </items>
    </pivotField>
  </pivotFields>
  <rowFields count="1">
    <field x="4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求和项:最新权重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B17:C28" firstHeaderRow="1" firstDataRow="1" firstDataCol="1"/>
  <pivotFields count="6">
    <pivotField numFmtId="183" showAll="0"/>
    <pivotField showAll="0"/>
    <pivotField showAll="0"/>
    <pivotField dataField="1" numFmtId="182" showAll="0"/>
    <pivotField axis="axisRow" showAll="0">
      <items count="12">
        <item x="0"/>
        <item x="1"/>
        <item x="6"/>
        <item x="5"/>
        <item x="8"/>
        <item x="4"/>
        <item x="3"/>
        <item m="1" x="10"/>
        <item x="7"/>
        <item x="2"/>
        <item x="9"/>
        <item t="default"/>
      </items>
    </pivotField>
    <pivotField numFmtId="10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 t="grand">
      <x/>
    </i>
  </rowItems>
  <colItems count="1">
    <i/>
  </colItems>
  <dataFields count="1">
    <dataField name="求和项:最新权重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Q12:U17" totalsRowShown="0" headerRowDxfId="17" dataDxfId="16" headerRowCellStyle="常规 2">
  <tableColumns count="5">
    <tableColumn id="1" name="指数代码" dataDxfId="15" dataCellStyle="常规 2"/>
    <tableColumn id="6" name="指数名称" dataDxfId="14" dataCellStyle="常规 2"/>
    <tableColumn id="4" name="光模块" dataDxfId="13" dataCellStyle="常规 2"/>
    <tableColumn id="2" name="新能源光伏" dataDxfId="12" dataCellStyle="百分比 3"/>
    <tableColumn id="3" name="金融科技" dataDxfId="11" dataCellStyle="常规 2 2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id="3" name="表1_4" displayName="表1_4" ref="B4:F9" totalsRowShown="0" headerRowDxfId="10" dataDxfId="9" headerRowCellStyle="常规 2">
  <tableColumns count="5">
    <tableColumn id="1" name="指数代码" dataDxfId="8" dataCellStyle="常规 2"/>
    <tableColumn id="6" name="指数名称" dataDxfId="7" dataCellStyle="常规 2"/>
    <tableColumn id="4" name="光模块" dataDxfId="6" dataCellStyle="常规 2"/>
    <tableColumn id="2" name="新能源光伏" dataDxfId="5" dataCellStyle="百分比 3"/>
    <tableColumn id="3" name="金融科技" dataDxfId="4" dataCellStyle="常规 2 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明朝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明朝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自定义 1">
    <a:dk1>
      <a:srgbClr val="000000"/>
    </a:dk1>
    <a:lt1>
      <a:srgbClr val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Consolas-Verdana">
    <a:majorFont>
      <a:latin typeface="Consolas"/>
      <a:ea typeface=""/>
      <a:cs typeface=""/>
      <a:font script="Jpan" typeface="HG丸ｺﾞｼｯｸM-PRO"/>
      <a:font script="Hang" typeface="HY중고딕"/>
      <a:font script="Hans" typeface="华文楷体"/>
      <a:font script="Hant" typeface="新細明體"/>
      <a:font script="Arab" typeface="Tahoma"/>
      <a:font script="Hebr" typeface="Levenim MT"/>
      <a:font script="Thai" typeface="DilleniaUPC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Verdana"/>
      <a:ea typeface=""/>
      <a:cs typeface=""/>
      <a:font script="Jpan" typeface="ＭＳ ゴシック"/>
      <a:font script="Hang" typeface="굴림"/>
      <a:font script="Hans" typeface="微软雅黑"/>
      <a:font script="Hant" typeface="微軟正黑體"/>
      <a:font script="Arab" typeface="Tahoma"/>
      <a:font script="Hebr" typeface="Tahoma"/>
      <a:font script="Thai" typeface="FreesiaUPC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Verdana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4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rinterSettings" Target="../printerSettings/printerSettings4.bin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J31" sqref="J31"/>
    </sheetView>
  </sheetViews>
  <sheetFormatPr defaultRowHeight="13.5"/>
  <cols>
    <col min="1" max="2" width="11.625" bestFit="1" customWidth="1"/>
    <col min="9" max="9" width="9.5" bestFit="1" customWidth="1"/>
    <col min="10" max="10" width="13.875" bestFit="1" customWidth="1"/>
    <col min="12" max="12" width="9.5" bestFit="1" customWidth="1"/>
  </cols>
  <sheetData>
    <row r="1" spans="1:13">
      <c r="A1" s="61">
        <f ca="1">TODAY()</f>
        <v>46104</v>
      </c>
      <c r="J1" s="3">
        <f ca="1">DATE(YEAR(B3)-1,MONTH(B3),DAY(B3))</f>
        <v>45736</v>
      </c>
    </row>
    <row r="2" spans="1:13" ht="14.25" thickBot="1">
      <c r="B2" s="1" t="s">
        <v>0</v>
      </c>
      <c r="C2" s="2" t="s">
        <v>1</v>
      </c>
      <c r="D2" s="2" t="s">
        <v>2</v>
      </c>
      <c r="E2" s="2" t="s">
        <v>4</v>
      </c>
      <c r="F2" s="2" t="s">
        <v>3</v>
      </c>
      <c r="G2" s="2" t="s">
        <v>130</v>
      </c>
      <c r="I2" s="1" t="s">
        <v>15</v>
      </c>
      <c r="J2" s="1" t="s">
        <v>61</v>
      </c>
    </row>
    <row r="3" spans="1:13" ht="14.25" thickBot="1">
      <c r="A3" s="61">
        <f ca="1">B3-4</f>
        <v>46097</v>
      </c>
      <c r="B3" s="3">
        <f ca="1">TODAY()-3</f>
        <v>46101</v>
      </c>
      <c r="C3" s="4">
        <v>159949</v>
      </c>
      <c r="D3" s="4" t="s">
        <v>85</v>
      </c>
      <c r="E3" s="22">
        <f ca="1">[1]!thsiFinD("ths_unit_nv_fund",C3,B3)</f>
        <v>1.5891</v>
      </c>
      <c r="F3" s="5">
        <f ca="1">E3*I3</f>
        <v>219.61020523068299</v>
      </c>
      <c r="G3" s="25">
        <f ca="1">[1]!thsiFinD("ths_daily_avg_amt_int_fund",C3,A3,B3)/100000000</f>
        <v>14.913917010460001</v>
      </c>
      <c r="I3" s="38">
        <f ca="1">[1]!thsiFinD("ths_fund_shares_fund",C3,B3)/100000000</f>
        <v>138.19785113</v>
      </c>
      <c r="J3" s="24">
        <f ca="1">[1]!thsiFinD("ths_daily_avg_amt_int_fund",C3,J1,B3)/100000000</f>
        <v>15.249148700126</v>
      </c>
      <c r="L3" s="61"/>
    </row>
    <row r="6" spans="1:13">
      <c r="G6" t="s">
        <v>81</v>
      </c>
      <c r="H6" t="s">
        <v>82</v>
      </c>
    </row>
    <row r="7" spans="1:13">
      <c r="C7" s="1" t="s">
        <v>5</v>
      </c>
      <c r="D7" s="1" t="s">
        <v>6</v>
      </c>
      <c r="E7" s="1" t="s">
        <v>7</v>
      </c>
      <c r="F7" s="1" t="s">
        <v>8</v>
      </c>
      <c r="G7" s="1" t="s">
        <v>128</v>
      </c>
      <c r="H7" s="1" t="s">
        <v>17</v>
      </c>
      <c r="I7" s="1"/>
      <c r="K7" s="1"/>
    </row>
    <row r="8" spans="1:13">
      <c r="A8" s="3"/>
      <c r="B8" s="3">
        <f ca="1">B3</f>
        <v>46101</v>
      </c>
      <c r="C8" s="1" t="s">
        <v>9</v>
      </c>
      <c r="D8" s="1" t="str">
        <f>[1]!thsiFinD("ths_index_short_name_index",C8)</f>
        <v>上证指数</v>
      </c>
      <c r="E8" s="23">
        <f ca="1">[1]!thsiFinD("ths_chg_ratio_w_index",C8,$B$8)/100</f>
        <v>-3.3792587063419005E-2</v>
      </c>
      <c r="F8" s="24">
        <f ca="1">[1]!thsiFinD("ths_pe_ttm_index",C8,$B$8,100,100)</f>
        <v>16.611159999070001</v>
      </c>
      <c r="G8" s="23">
        <f ca="1">[1]!thsiFinD("ths_pe_ttm_quantile_index",C8,$B$8,$B$10,$B$8,100,100)/100</f>
        <v>0.96852548751282996</v>
      </c>
      <c r="H8" s="23">
        <f ca="1">[1]!thsiFinD("ths_pe_ttm_quantile_index",C8,$B$8,$B$9,$B$8,100,100)/100</f>
        <v>0.90692640692641002</v>
      </c>
      <c r="I8" s="23"/>
      <c r="J8" s="23"/>
      <c r="K8" s="39"/>
    </row>
    <row r="9" spans="1:13">
      <c r="B9" s="3">
        <f ca="1">DATE(YEAR(B8)-3,MONTH(B8),DAY(B8))</f>
        <v>45005</v>
      </c>
      <c r="C9" s="1" t="s">
        <v>84</v>
      </c>
      <c r="D9" s="1" t="str">
        <f>[1]!thsiFinD("ths_index_short_name_index",C9)</f>
        <v>中证A500</v>
      </c>
      <c r="E9" s="23">
        <f ca="1">[1]!thsiFinD("ths_chg_ratio_w_index",C9,$B$8)/100</f>
        <v>-3.1751159236169002E-2</v>
      </c>
      <c r="F9" s="24">
        <f ca="1">[1]!thsiFinD("ths_pe_ttm_index",C9,$B$8,100,100)</f>
        <v>16.99030268928</v>
      </c>
      <c r="G9" s="23">
        <f ca="1">[1]!thsiFinD("ths_pe_ttm_quantile_index",C9,$B$8,$B$10,$B$8,100,100)/100</f>
        <v>0.85234899328859004</v>
      </c>
      <c r="H9" s="23">
        <f ca="1">[1]!thsiFinD("ths_pe_ttm_quantile_index",C9,$B$8,$B$9,$B$8,100,100)/100</f>
        <v>0.85234899328859004</v>
      </c>
      <c r="I9" s="23"/>
      <c r="J9" s="23"/>
      <c r="K9" s="39"/>
      <c r="M9" s="1" t="s">
        <v>72</v>
      </c>
    </row>
    <row r="10" spans="1:13">
      <c r="B10" s="3">
        <f ca="1">DATE(YEAR(B9)-7,MONTH(B9),DAY(B9))</f>
        <v>42449</v>
      </c>
      <c r="C10" s="1" t="s">
        <v>83</v>
      </c>
      <c r="D10" s="1" t="str">
        <f>[1]!thsiFinD("ths_index_short_name_index",C10)</f>
        <v>沪深300</v>
      </c>
      <c r="E10" s="23">
        <f ca="1">[1]!thsiFinD("ths_chg_ratio_w_index",C10,$B$8)/100</f>
        <v>-2.1871715133835998E-2</v>
      </c>
      <c r="F10" s="24">
        <f ca="1">[1]!thsiFinD("ths_pe_ttm_index",C10,$B$8,100,100)</f>
        <v>14.03375178698</v>
      </c>
      <c r="G10" s="23">
        <f ca="1">[1]!thsiFinD("ths_pe_ttm_quantile_index",C10,$B$8,$B$10,$B$8,100,100)/100</f>
        <v>0.81418181818182012</v>
      </c>
      <c r="H10" s="23">
        <f ca="1">[1]!thsiFinD("ths_pe_ttm_quantile_index",C10,$B$8,$B$9,$B$8,100,100)/100</f>
        <v>0.86238532110091992</v>
      </c>
      <c r="I10" s="23"/>
      <c r="J10" s="23"/>
      <c r="K10" s="39"/>
    </row>
    <row r="11" spans="1:13">
      <c r="C11" s="1" t="s">
        <v>10</v>
      </c>
      <c r="D11" s="1" t="str">
        <f>[1]!thsiFinD("ths_index_short_name_index",C11)</f>
        <v>中证500</v>
      </c>
      <c r="E11" s="23">
        <f ca="1">[1]!thsiFinD("ths_chg_ratio_w_index",C11,$B$8)/100</f>
        <v>-5.8224910367948003E-2</v>
      </c>
      <c r="F11" s="24">
        <f ca="1">[1]!thsiFinD("ths_pe_ttm_index",C11,$B$8,100,100)</f>
        <v>35.356773099420003</v>
      </c>
      <c r="G11" s="23">
        <f ca="1">[1]!thsiFinD("ths_pe_ttm_quantile_index",C11,$B$8,$B$10,$B$8,100,100)/100</f>
        <v>0.87151037938440001</v>
      </c>
      <c r="H11" s="23">
        <f ca="1">[1]!thsiFinD("ths_pe_ttm_quantile_index",C11,$B$8,$B$9,$B$8,100,100)/100</f>
        <v>0.93453724604965993</v>
      </c>
      <c r="I11" s="23"/>
      <c r="J11" s="23"/>
      <c r="K11" s="39"/>
    </row>
    <row r="12" spans="1:13">
      <c r="C12" s="1" t="s">
        <v>11</v>
      </c>
      <c r="D12" s="1" t="str">
        <f>[1]!thsiFinD("ths_index_short_name_index",C12)</f>
        <v>中证1000</v>
      </c>
      <c r="E12" s="23">
        <f ca="1">[1]!thsiFinD("ths_chg_ratio_w_index",C12,$B$8)/100</f>
        <v>-5.2452246466116993E-2</v>
      </c>
      <c r="F12" s="24">
        <f ca="1">[1]!thsiFinD("ths_pe_ttm_index",C12,$B$8,100,100)</f>
        <v>48.114002933942999</v>
      </c>
      <c r="G12" s="23">
        <f ca="1">[1]!thsiFinD("ths_pe_ttm_quantile_index",C12,$B$8,$B$10,$B$8,100,100)/100</f>
        <v>0.74682239780144</v>
      </c>
      <c r="H12" s="23">
        <f ca="1">[1]!thsiFinD("ths_pe_ttm_quantile_index",C12,$B$8,$B$9,$B$8,100,100)/100</f>
        <v>0.92430703624733002</v>
      </c>
      <c r="I12" s="23"/>
      <c r="J12" s="23"/>
      <c r="K12" s="39"/>
    </row>
    <row r="13" spans="1:13">
      <c r="C13" s="8" t="s">
        <v>14</v>
      </c>
      <c r="D13" s="8" t="str">
        <f>[1]!thsiFinD("ths_index_short_name_index",C13)</f>
        <v>创业板50</v>
      </c>
      <c r="E13" s="62">
        <f ca="1">[1]!thsiFinD("ths_chg_ratio_w_index",C13,$B$8)/100</f>
        <v>2.2350861462813999E-2</v>
      </c>
      <c r="F13" s="63">
        <f ca="1">[1]!thsiFinD("ths_pe_ttm_index",C13,$B$8,100,100)</f>
        <v>41.522295033436002</v>
      </c>
      <c r="G13" s="23">
        <f ca="1">[1]!thsiFinD("ths_pe_ttm_quantile_index",C13,$B$8,$B$10,$B$8,100,100)/100</f>
        <v>0.43021868787275996</v>
      </c>
      <c r="H13" s="62">
        <f ca="1">[1]!thsiFinD("ths_pe_ttm_quantile_index",C13,$B$8,$B$9,$B$8,100,100)/100</f>
        <v>0.88624338624339005</v>
      </c>
      <c r="I13" s="23"/>
      <c r="J13" s="23"/>
      <c r="K13" s="39"/>
    </row>
    <row r="14" spans="1:13">
      <c r="C14" s="1" t="s">
        <v>12</v>
      </c>
      <c r="D14" s="1" t="str">
        <f>[1]!thsiFinD("ths_index_short_name_index",C14)</f>
        <v>创业板指</v>
      </c>
      <c r="E14" s="23">
        <f ca="1">[1]!thsiFinD("ths_chg_ratio_w_index",C14,$B$8)/100</f>
        <v>1.2634800238373E-2</v>
      </c>
      <c r="F14" s="24">
        <f ca="1">[1]!thsiFinD("ths_pe_ttm_index",C14,$B$8,100,100)</f>
        <v>41.448452139948998</v>
      </c>
      <c r="G14" s="23">
        <f ca="1">[1]!thsiFinD("ths_pe_ttm_quantile_index",C14,$B$8,$B$10,$B$8,100,100)/100</f>
        <v>0.41047693510555</v>
      </c>
      <c r="H14" s="23">
        <f ca="1">[1]!thsiFinD("ths_pe_ttm_quantile_index",C14,$B$8,$B$9,$B$8,100,100)/100</f>
        <v>0.87595907928388994</v>
      </c>
      <c r="I14" s="23"/>
      <c r="J14" s="23"/>
      <c r="K14" s="39"/>
    </row>
    <row r="15" spans="1:13">
      <c r="C15" s="1" t="s">
        <v>16</v>
      </c>
      <c r="D15" s="1" t="str">
        <f>[1]!thsiFinD("ths_index_short_name_index",C15)</f>
        <v>科创50</v>
      </c>
      <c r="E15" s="23">
        <f ca="1">[1]!thsiFinD("ths_chg_ratio_w_index",C15,$B$8)/100</f>
        <v>-4.0278589189053998E-2</v>
      </c>
      <c r="F15" s="24">
        <f ca="1">[1]!thsiFinD("ths_pe_ttm_index",C15,$B$8,100,100)</f>
        <v>153.67249871633999</v>
      </c>
      <c r="G15" s="23">
        <f ca="1">[1]!thsiFinD("ths_pe_ttm_quantile_index",C15,$B$8,$B$10,$B$8,100,100)/100</f>
        <v>0.91706001348618005</v>
      </c>
      <c r="H15" s="23">
        <f ca="1">[1]!thsiFinD("ths_pe_ttm_quantile_index",C15,$B$8,$B$9,$B$8,100,100)/100</f>
        <v>0.8452830188679199</v>
      </c>
      <c r="I15" s="23"/>
      <c r="J15" s="23"/>
      <c r="K15" s="39"/>
    </row>
    <row r="16" spans="1:13">
      <c r="C16" s="1" t="s">
        <v>87</v>
      </c>
      <c r="D16" s="1" t="str">
        <f>[1]!thsiFinD("ths_index_short_name_index",C16)</f>
        <v>深证成指</v>
      </c>
      <c r="E16" s="23">
        <f ca="1">[1]!thsiFinD("ths_chg_ratio_w_index",C16,$B$8)/100</f>
        <v>-2.9030459527147001E-2</v>
      </c>
      <c r="F16" s="24">
        <f ca="1">[1]!thsiFinD("ths_pe_ttm_index",C16,$B$8,100,100)</f>
        <v>32.0653694716</v>
      </c>
      <c r="G16" s="23">
        <f ca="1">[1]!thsiFinD("ths_pe_ttm_quantile_index",C16,$B$8,$B$10,$B$8,100,100)/100</f>
        <v>0.8825824760553399</v>
      </c>
      <c r="H16" s="23">
        <f ca="1">[1]!thsiFinD("ths_pe_ttm_quantile_index",C16,$B$8,$B$9,$B$8,100,100)/100</f>
        <v>0.93237250554324003</v>
      </c>
      <c r="I16" s="23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Y62"/>
  <sheetViews>
    <sheetView workbookViewId="0">
      <selection activeCell="F6" sqref="F6"/>
    </sheetView>
  </sheetViews>
  <sheetFormatPr defaultColWidth="9" defaultRowHeight="13.5"/>
  <cols>
    <col min="1" max="1" width="12.375" style="1" customWidth="1"/>
    <col min="2" max="2" width="10.375" style="1" bestFit="1" customWidth="1"/>
    <col min="3" max="3" width="9" style="1"/>
    <col min="4" max="4" width="12.5" style="1" customWidth="1"/>
    <col min="5" max="5" width="18.75" style="1" customWidth="1"/>
    <col min="6" max="7" width="10.25" style="1" bestFit="1" customWidth="1"/>
    <col min="8" max="8" width="9" style="1"/>
    <col min="9" max="9" width="11.625" style="1" bestFit="1" customWidth="1"/>
    <col min="10" max="11" width="9" style="1"/>
    <col min="12" max="12" width="9.5" style="1" bestFit="1" customWidth="1"/>
    <col min="13" max="14" width="9" style="1"/>
    <col min="15" max="15" width="10.25" style="1" customWidth="1"/>
    <col min="16" max="17" width="11.125" style="1" customWidth="1"/>
    <col min="18" max="18" width="9" style="1"/>
    <col min="19" max="24" width="11.625" style="1" customWidth="1"/>
    <col min="25" max="16384" width="9" style="1"/>
  </cols>
  <sheetData>
    <row r="1" spans="1:25" ht="14.25" thickBot="1">
      <c r="A1" s="3">
        <f ca="1">基本信息!$B$3</f>
        <v>46101</v>
      </c>
      <c r="B1" s="3"/>
    </row>
    <row r="2" spans="1:25">
      <c r="A2" s="1" t="s">
        <v>65</v>
      </c>
      <c r="B2" s="49" t="s">
        <v>76</v>
      </c>
      <c r="C2" s="49" t="s">
        <v>77</v>
      </c>
      <c r="D2" s="49" t="s">
        <v>78</v>
      </c>
      <c r="E2" s="49" t="s">
        <v>79</v>
      </c>
      <c r="F2" s="49" t="s">
        <v>7</v>
      </c>
      <c r="G2" s="70" t="s">
        <v>86</v>
      </c>
    </row>
    <row r="3" spans="1:25">
      <c r="A3" s="1" t="s">
        <v>13</v>
      </c>
      <c r="B3" s="50" t="str">
        <f>INDEX(J:J, MATCH(LARGE(L:L, 1), L:L, 0))</f>
        <v>300750.SZ</v>
      </c>
      <c r="C3" s="50" t="str">
        <f>[1]!thsiFinD("ths_stock_short_name_stock",B3)</f>
        <v>宁德时代</v>
      </c>
      <c r="D3" s="51">
        <f>LARGE(L:L, 1)</f>
        <v>19.721699999999998</v>
      </c>
      <c r="E3" s="50" t="str">
        <f ca="1">[1]!thsiFinD("ths_the_sw_industry_stock",B3,100,$A$1)</f>
        <v>电力设备</v>
      </c>
      <c r="F3" s="52">
        <f t="shared" ref="F3:F12" ca="1" si="0">VLOOKUP(C3,$K:$N,4,FALSE)</f>
        <v>4.0302267002519002E-2</v>
      </c>
      <c r="G3" s="107">
        <f>[2]!s_yq_pctchange(B3,"")%</f>
        <v>0.12454391983880629</v>
      </c>
    </row>
    <row r="4" spans="1:25">
      <c r="B4" s="53" t="str">
        <f>INDEX(J:J, MATCH(LARGE(L:L, 2), L:L, 0))</f>
        <v>300308.SZ</v>
      </c>
      <c r="C4" s="54" t="str">
        <f>[1]!thsiFinD("ths_stock_short_name_stock",B4)</f>
        <v>中际旭创</v>
      </c>
      <c r="D4" s="55">
        <f>LARGE(L:L, 2)</f>
        <v>10.263</v>
      </c>
      <c r="E4" s="56" t="str">
        <f ca="1">[1]!thsiFinD("ths_the_sw_industry_stock",B4,100,$A$1)</f>
        <v>通信</v>
      </c>
      <c r="F4" s="57">
        <f t="shared" ca="1" si="0"/>
        <v>0.12910962695104</v>
      </c>
      <c r="G4" s="107">
        <f>[2]!s_yq_pctchange(B4,"")%</f>
        <v>3.2786885245901232E-3</v>
      </c>
      <c r="S4" s="44" t="s">
        <v>59</v>
      </c>
      <c r="T4" s="44" t="s">
        <v>56</v>
      </c>
      <c r="U4" s="45" t="s">
        <v>57</v>
      </c>
      <c r="V4" s="44" t="s">
        <v>59</v>
      </c>
      <c r="W4" s="44" t="s">
        <v>56</v>
      </c>
      <c r="X4" s="44" t="s">
        <v>7</v>
      </c>
    </row>
    <row r="5" spans="1:25">
      <c r="B5" s="50" t="str">
        <f>INDEX(J:J, MATCH(LARGE(L:L, 3), L:L, 0))</f>
        <v>300502.SZ</v>
      </c>
      <c r="C5" s="50" t="str">
        <f>[1]!thsiFinD("ths_stock_short_name_stock",B5)</f>
        <v>新易盛</v>
      </c>
      <c r="D5" s="51">
        <f>LARGE(L:L, 3)</f>
        <v>7.1985000000000001</v>
      </c>
      <c r="E5" s="50" t="str">
        <f ca="1">[1]!thsiFinD("ths_the_sw_industry_stock",B5,100,$A$1)</f>
        <v>通信</v>
      </c>
      <c r="F5" s="52">
        <f ca="1">VLOOKUP(C5,$K:$N,4,FALSE)</f>
        <v>0.21069461716113</v>
      </c>
      <c r="G5" s="107">
        <f>[2]!s_yq_pctchange(B5,"")%</f>
        <v>0.10715280356479774</v>
      </c>
      <c r="R5" s="37" t="str">
        <f ca="1">INDEX(J:J, MATCH(LARGE(N:N, 1), N:N, 0))</f>
        <v>300502.SZ</v>
      </c>
      <c r="S5" s="43" t="str">
        <f ca="1">[1]!thsiFinD("ths_stock_short_name_stock",R5)</f>
        <v>新易盛</v>
      </c>
      <c r="T5" s="43" t="str">
        <f ca="1">[1]!thsiFinD("ths_the_sw_industry_stock",R5,100,$A$1)</f>
        <v>通信</v>
      </c>
      <c r="U5" s="103">
        <f ca="1">VLOOKUP(S5,$K:$P,4,FALSE)</f>
        <v>0.21069461716113</v>
      </c>
      <c r="V5" s="43" t="str">
        <f ca="1">[1]!thsiFinD("ths_stock_short_name_stock",Y5)</f>
        <v>菲利华</v>
      </c>
      <c r="W5" s="43" t="str">
        <f ca="1">[1]!thsiFinD("ths_the_sw_industry_stock",Y5,100,$A$1)</f>
        <v>国防军工</v>
      </c>
      <c r="X5" s="18">
        <f ca="1">VLOOKUP(V5,$K:$P,4,FALSE)</f>
        <v>-0.14073748902546002</v>
      </c>
      <c r="Y5" s="37" t="str">
        <f ca="1">INDEX($J:$J, MATCH(SMALL($N:$N, 1), $N:$N, 0))</f>
        <v>300395.SZ</v>
      </c>
    </row>
    <row r="6" spans="1:25">
      <c r="B6" s="53" t="str">
        <f>INDEX(J:J, MATCH(LARGE(L:L, 4), L:L, 0))</f>
        <v>300059.SZ</v>
      </c>
      <c r="C6" s="54" t="str">
        <f>[1]!thsiFinD("ths_stock_short_name_stock",B6)</f>
        <v>东方财富</v>
      </c>
      <c r="D6" s="55">
        <f>LARGE(L:L, 4)</f>
        <v>6.516</v>
      </c>
      <c r="E6" s="56" t="str">
        <f ca="1">[1]!thsiFinD("ths_the_sw_industry_stock",B6,100,$A$1)</f>
        <v>非银金融</v>
      </c>
      <c r="F6" s="57">
        <f t="shared" ca="1" si="0"/>
        <v>-4.2180094786730002E-2</v>
      </c>
      <c r="G6" s="107">
        <f>[2]!s_yq_pctchange(B6,"")%</f>
        <v>-0.12812769628990506</v>
      </c>
      <c r="R6" s="37" t="str">
        <f ca="1">INDEX(J:J, MATCH(LARGE(N:N, 2), N:N, 0))</f>
        <v>300763.SZ</v>
      </c>
      <c r="S6" s="13" t="str">
        <f ca="1">[1]!thsiFinD("ths_stock_short_name_stock",R6)</f>
        <v>锦浪科技</v>
      </c>
      <c r="T6" s="13" t="str">
        <f ca="1">[1]!thsiFinD("ths_the_sw_industry_stock",R6,100,$A$1)</f>
        <v>电力设备</v>
      </c>
      <c r="U6" s="104">
        <f ca="1">VLOOKUP(S6,$K:$P,4,FALSE)</f>
        <v>0.15839472663823001</v>
      </c>
      <c r="V6" s="14" t="str">
        <f ca="1">[1]!thsiFinD("ths_stock_short_name_stock",Y6)</f>
        <v>软通动力</v>
      </c>
      <c r="W6" s="14" t="str">
        <f ca="1">[1]!thsiFinD("ths_the_sw_industry_stock",Y6,100,$A$1)</f>
        <v>计算机</v>
      </c>
      <c r="X6" s="15">
        <f ca="1">VLOOKUP(V6,$K:$P,4,FALSE)</f>
        <v>-0.13318729463307999</v>
      </c>
      <c r="Y6" s="37" t="str">
        <f ca="1">INDEX($J:$J, MATCH(SMALL($N:$N, 2), $N:$N, 0))</f>
        <v>301236.SZ</v>
      </c>
    </row>
    <row r="7" spans="1:25">
      <c r="B7" s="50" t="str">
        <f>INDEX(J:J, MATCH(LARGE(L:L, 5), L:L, 0))</f>
        <v>300274.SZ</v>
      </c>
      <c r="C7" s="50" t="str">
        <f>[1]!thsiFinD("ths_stock_short_name_stock",B7)</f>
        <v>阳光电源</v>
      </c>
      <c r="D7" s="51">
        <f>LARGE(L:L, 5)</f>
        <v>4.8080999999999996</v>
      </c>
      <c r="E7" s="50" t="str">
        <f ca="1">[1]!thsiFinD("ths_the_sw_industry_stock",B7,100,$A$1)</f>
        <v>电力设备</v>
      </c>
      <c r="F7" s="52">
        <f t="shared" ca="1" si="0"/>
        <v>-1.0205827014082999E-2</v>
      </c>
      <c r="G7" s="107">
        <f>[2]!s_yq_pctchange(B7,"")%</f>
        <v>1.4967259120673537E-2</v>
      </c>
      <c r="R7" s="37" t="str">
        <f ca="1">INDEX(J:J, MATCH(LARGE(N:N, 3), N:N, 0))</f>
        <v>300782.SZ</v>
      </c>
      <c r="S7" s="16" t="str">
        <f ca="1">[1]!thsiFinD("ths_stock_short_name_stock",R7)</f>
        <v>卓胜微</v>
      </c>
      <c r="T7" s="16" t="str">
        <f ca="1">[1]!thsiFinD("ths_the_sw_industry_stock",R7,100,$A$1)</f>
        <v>电子</v>
      </c>
      <c r="U7" s="105">
        <f ca="1">VLOOKUP(S7,$K:$P,4,FALSE)</f>
        <v>0.13456464379947</v>
      </c>
      <c r="V7" s="17" t="str">
        <f ca="1">[1]!thsiFinD("ths_stock_short_name_stock",Y7)</f>
        <v>协创数据</v>
      </c>
      <c r="W7" s="17" t="str">
        <f ca="1">[1]!thsiFinD("ths_the_sw_industry_stock",Y7,100,$A$1)</f>
        <v>电子</v>
      </c>
      <c r="X7" s="18">
        <f ca="1">VLOOKUP(V7,$K:$P,4,FALSE)</f>
        <v>-0.11446342744053001</v>
      </c>
      <c r="Y7" s="37" t="str">
        <f ca="1">INDEX($J:$J, MATCH(SMALL($N:$N, 3), $N:$N, 0))</f>
        <v>300857.SZ</v>
      </c>
    </row>
    <row r="8" spans="1:25">
      <c r="B8" s="53" t="str">
        <f>INDEX(J:J, MATCH(LARGE(L:L, 6), L:L, 0))</f>
        <v>300476.SZ</v>
      </c>
      <c r="C8" s="54" t="str">
        <f>[1]!thsiFinD("ths_stock_short_name_stock",B8)</f>
        <v>胜宏科技</v>
      </c>
      <c r="D8" s="55">
        <f>LARGE(L:L, 6)</f>
        <v>4.1612999999999998</v>
      </c>
      <c r="E8" s="56" t="str">
        <f ca="1">[1]!thsiFinD("ths_the_sw_industry_stock",B8,100,$A$1)</f>
        <v>电子</v>
      </c>
      <c r="F8" s="57">
        <f t="shared" ca="1" si="0"/>
        <v>1.7611328756784001E-3</v>
      </c>
      <c r="G8" s="107">
        <f>[2]!s_yq_pctchange(B8,"")%</f>
        <v>-3.080881841574501E-2</v>
      </c>
      <c r="I8" s="29" t="s">
        <v>160</v>
      </c>
      <c r="J8" s="29" t="s">
        <v>520</v>
      </c>
      <c r="K8" s="29" t="s">
        <v>161</v>
      </c>
      <c r="R8" s="37" t="str">
        <f ca="1">INDEX(J:J, MATCH(LARGE(N:N, 4), N:N, 0))</f>
        <v>300308.SZ</v>
      </c>
      <c r="S8" s="35" t="str">
        <f ca="1">[1]!thsiFinD("ths_stock_short_name_stock",R8)</f>
        <v>中际旭创</v>
      </c>
      <c r="T8" s="35" t="str">
        <f ca="1">[1]!thsiFinD("ths_the_sw_industry_stock",R8,100,$A$1)</f>
        <v>通信</v>
      </c>
      <c r="U8" s="104">
        <f ca="1">VLOOKUP(S8,$K:$P,4,FALSE)</f>
        <v>0.12910962695104</v>
      </c>
      <c r="V8" s="14" t="str">
        <f ca="1">[1]!thsiFinD("ths_stock_short_name_stock",Y8)</f>
        <v>金力永磁</v>
      </c>
      <c r="W8" s="14" t="str">
        <f ca="1">[1]!thsiFinD("ths_the_sw_industry_stock",Y8,100,$A$1)</f>
        <v>有色金属</v>
      </c>
      <c r="X8" s="15">
        <f ca="1">VLOOKUP(V8,$K:$P,4,FALSE)</f>
        <v>-9.3482748451784003E-2</v>
      </c>
      <c r="Y8" s="37" t="str">
        <f ca="1">INDEX($J:$J, MATCH(SMALL($N:$N, 4), $N:$N, 0))</f>
        <v>300748.SZ</v>
      </c>
    </row>
    <row r="9" spans="1:25">
      <c r="B9" s="50" t="str">
        <f>INDEX(J:J, MATCH(LARGE(L:L, 7), L:L, 0))</f>
        <v>300394.SZ</v>
      </c>
      <c r="C9" s="50" t="str">
        <f>[1]!thsiFinD("ths_stock_short_name_stock",B9)</f>
        <v>天孚通信</v>
      </c>
      <c r="D9" s="51">
        <f>LARGE(L:L, 7)</f>
        <v>3.6545000000000001</v>
      </c>
      <c r="E9" s="50" t="str">
        <f ca="1">[1]!thsiFinD("ths_the_sw_industry_stock",B9,100,$A$1)</f>
        <v>通信</v>
      </c>
      <c r="F9" s="52">
        <f t="shared" ca="1" si="0"/>
        <v>-0.04</v>
      </c>
      <c r="G9" s="107">
        <f>[2]!s_yq_pctchange(B9,"")%</f>
        <v>0.53671871152046502</v>
      </c>
      <c r="I9" s="29" t="s">
        <v>0</v>
      </c>
      <c r="J9" s="29" t="s">
        <v>162</v>
      </c>
      <c r="K9" s="29" t="s">
        <v>66</v>
      </c>
      <c r="R9" s="37" t="str">
        <f ca="1">INDEX(J:J, MATCH(LARGE(N:N, 5), N:N, 0))</f>
        <v>300418.SZ</v>
      </c>
      <c r="S9" s="46" t="str">
        <f ca="1">[1]!thsiFinD("ths_stock_short_name_stock",R9)</f>
        <v>昆仑万维</v>
      </c>
      <c r="T9" s="46" t="str">
        <f ca="1">[1]!thsiFinD("ths_the_sw_industry_stock",R9,100,$A$1)</f>
        <v>传媒</v>
      </c>
      <c r="U9" s="106">
        <f ca="1">VLOOKUP(S9,$K:$P,4,FALSE)</f>
        <v>6.1571965947337007E-2</v>
      </c>
      <c r="V9" s="47" t="str">
        <f ca="1">[1]!thsiFinD("ths_stock_short_name_stock",Y9)</f>
        <v>泰格医药</v>
      </c>
      <c r="W9" s="47" t="str">
        <f ca="1">[1]!thsiFinD("ths_the_sw_industry_stock",Y9,100,$A$1)</f>
        <v>医药生物</v>
      </c>
      <c r="X9" s="48">
        <f ca="1">VLOOKUP(V9,$K:$P,4,FALSE)</f>
        <v>-8.8913082925059006E-2</v>
      </c>
      <c r="Y9" s="37" t="str">
        <f ca="1">INDEX($J:$J, MATCH(SMALL($N:$N, 5), $N:$N, 0))</f>
        <v>300347.SZ</v>
      </c>
    </row>
    <row r="10" spans="1:25">
      <c r="B10" s="53" t="str">
        <f>INDEX(J:J, MATCH(LARGE(L:L, 8), L:L, 0))</f>
        <v>300124.SZ</v>
      </c>
      <c r="C10" s="53" t="str">
        <f>[1]!thsiFinD("ths_stock_short_name_stock",B10)</f>
        <v>汇川技术</v>
      </c>
      <c r="D10" s="58">
        <f>LARGE(L:L, 8)</f>
        <v>3.2299000000000002</v>
      </c>
      <c r="E10" s="53" t="str">
        <f ca="1">[1]!thsiFinD("ths_the_sw_industry_stock",B10,100,$A$1)</f>
        <v>机械设备</v>
      </c>
      <c r="F10" s="59">
        <f t="shared" ca="1" si="0"/>
        <v>-5.5502129413381E-2</v>
      </c>
      <c r="G10" s="107">
        <f>[2]!s_yq_pctchange(B10,"")%</f>
        <v>-8.734899774326299E-2</v>
      </c>
      <c r="I10" s="29" t="s">
        <v>163</v>
      </c>
      <c r="J10" s="29" t="s">
        <v>521</v>
      </c>
      <c r="K10" s="29" t="s">
        <v>66</v>
      </c>
      <c r="L10" s="41"/>
      <c r="O10" s="40">
        <f ca="1">SUM(O13:O22)</f>
        <v>9408.7189234856996</v>
      </c>
    </row>
    <row r="11" spans="1:25">
      <c r="B11" s="50" t="str">
        <f>INDEX(J:J, MATCH(LARGE(L:L, 9), L:L, 0))</f>
        <v>300760.SZ</v>
      </c>
      <c r="C11" s="50" t="str">
        <f>[1]!thsiFinD("ths_stock_short_name_stock",B11)</f>
        <v>迈瑞医疗</v>
      </c>
      <c r="D11" s="51">
        <f>LARGE(L:L, 9)</f>
        <v>2.5421</v>
      </c>
      <c r="E11" s="50" t="str">
        <f ca="1">[1]!thsiFinD("ths_the_sw_industry_stock",B11,100,$A$1)</f>
        <v>医药生物</v>
      </c>
      <c r="F11" s="52">
        <f t="shared" ca="1" si="0"/>
        <v>-5.0680405443243003E-2</v>
      </c>
      <c r="G11" s="107">
        <f>[2]!s_yq_pctchange(B11,"")%</f>
        <v>-0.10989761092150163</v>
      </c>
      <c r="I11" s="28" t="str">
        <f>[1]!THS_SJC("index","最新;399673.SZ","date=Y","thscode=Y","security_name=Y","weight=Y")</f>
        <v>同花顺iFinD</v>
      </c>
      <c r="J11" s="30"/>
      <c r="K11" s="30"/>
      <c r="O11" s="29"/>
    </row>
    <row r="12" spans="1:25">
      <c r="B12" s="64" t="str">
        <f>INDEX(J:J, MATCH(LARGE(L:L, 10), L:L, 0))</f>
        <v>300014.SZ</v>
      </c>
      <c r="C12" s="65" t="str">
        <f>[1]!thsiFinD("ths_stock_short_name_stock",B12)</f>
        <v>亿纬锂能</v>
      </c>
      <c r="D12" s="66">
        <f>LARGE(L:L, 10)</f>
        <v>1.8591</v>
      </c>
      <c r="E12" s="67" t="str">
        <f ca="1">[1]!thsiFinD("ths_the_sw_industry_stock",B12,100,$A$1)</f>
        <v>电力设备</v>
      </c>
      <c r="F12" s="68">
        <f t="shared" ca="1" si="0"/>
        <v>3.7818821459981999E-2</v>
      </c>
      <c r="G12" s="107">
        <f>[2]!s_yq_pctchange(B12,"")%</f>
        <v>7.6642335766423209E-2</v>
      </c>
      <c r="I12" s="30" t="s">
        <v>522</v>
      </c>
      <c r="J12" s="30" t="s">
        <v>523</v>
      </c>
      <c r="K12" s="30" t="s">
        <v>524</v>
      </c>
      <c r="L12" s="30" t="s">
        <v>525</v>
      </c>
      <c r="M12" s="1" t="s">
        <v>71</v>
      </c>
      <c r="N12" s="1" t="s">
        <v>70</v>
      </c>
      <c r="O12" s="1" t="s">
        <v>80</v>
      </c>
    </row>
    <row r="13" spans="1:25">
      <c r="H13" s="36">
        <v>1</v>
      </c>
      <c r="I13" s="31">
        <v>46104</v>
      </c>
      <c r="J13" s="29" t="s">
        <v>526</v>
      </c>
      <c r="K13" s="29" t="s">
        <v>527</v>
      </c>
      <c r="L13" s="42">
        <v>0.49049999999999999</v>
      </c>
      <c r="M13" s="1" t="str">
        <f ca="1">[1]!thsiFinD("ths_the_sw_industry_stock",J13,100,$A$1)</f>
        <v>传媒</v>
      </c>
      <c r="N13" s="7">
        <f ca="1">[1]!thsiFinD("ths_chg_ratio_w_stock",J13,$A$1,100)/100</f>
        <v>-5.0141911069063003E-2</v>
      </c>
      <c r="O13" s="40">
        <f ca="1">[1]!thsiFinD("ths_market_value_stock",J13,$A$1)/100000000</f>
        <v>197.5042561464</v>
      </c>
      <c r="P13" s="52">
        <f>[2]!i_pq_pctchange(J13,"2025-9-29","")%</f>
        <v>-0.31279945242984264</v>
      </c>
      <c r="Q13" s="52"/>
    </row>
    <row r="14" spans="1:25">
      <c r="H14" s="36">
        <v>2</v>
      </c>
      <c r="I14" s="31">
        <v>46104</v>
      </c>
      <c r="J14" s="29" t="s">
        <v>220</v>
      </c>
      <c r="K14" s="29" t="s">
        <v>528</v>
      </c>
      <c r="L14" s="42">
        <v>1.8591</v>
      </c>
      <c r="M14" s="1" t="str">
        <f ca="1">[1]!thsiFinD("ths_the_sw_industry_stock",J14,100,$A$1)</f>
        <v>电力设备</v>
      </c>
      <c r="N14" s="7">
        <f ca="1">[1]!thsiFinD("ths_chg_ratio_w_stock",J14,$A$1,100)/100</f>
        <v>3.7818821459981999E-2</v>
      </c>
      <c r="O14" s="40">
        <f ca="1">[1]!thsiFinD("ths_market_value_stock",J14,$A$1)/100000000</f>
        <v>1468.4777614560001</v>
      </c>
      <c r="P14" s="52">
        <f>[2]!i_pq_pctchange(J14,"2025-9-29","")%</f>
        <v>-8.3732367024718535E-2</v>
      </c>
      <c r="Q14" s="52"/>
    </row>
    <row r="15" spans="1:25">
      <c r="D15" s="20"/>
      <c r="H15" s="36">
        <v>3</v>
      </c>
      <c r="I15" s="31">
        <v>46104</v>
      </c>
      <c r="J15" s="29" t="s">
        <v>529</v>
      </c>
      <c r="K15" s="29" t="s">
        <v>530</v>
      </c>
      <c r="L15" s="42">
        <v>1.0341</v>
      </c>
      <c r="M15" s="1" t="str">
        <f ca="1">[1]!thsiFinD("ths_the_sw_industry_stock",J15,100,$A$1)</f>
        <v>医药生物</v>
      </c>
      <c r="N15" s="7">
        <f ca="1">[1]!thsiFinD("ths_chg_ratio_w_stock",J15,$A$1,100)/100</f>
        <v>-1.7716535433070998E-2</v>
      </c>
      <c r="O15" s="40">
        <f ca="1">[1]!thsiFinD("ths_market_value_stock",J15,$A$1)/100000000</f>
        <v>930.67458766600009</v>
      </c>
      <c r="P15" s="52">
        <f>[2]!i_pq_pctchange(J15,"2025-9-29","")%</f>
        <v>-0.18634889989784262</v>
      </c>
      <c r="Q15" s="52"/>
    </row>
    <row r="16" spans="1:25">
      <c r="D16" s="20"/>
      <c r="H16" s="36">
        <v>4</v>
      </c>
      <c r="I16" s="31">
        <v>46104</v>
      </c>
      <c r="J16" s="29" t="s">
        <v>531</v>
      </c>
      <c r="K16" s="29" t="s">
        <v>225</v>
      </c>
      <c r="L16" s="42">
        <v>0.95409999999999995</v>
      </c>
      <c r="M16" s="1" t="str">
        <f ca="1">[1]!thsiFinD("ths_the_sw_industry_stock",J16,100,$A$1)</f>
        <v>计算机</v>
      </c>
      <c r="N16" s="7">
        <f ca="1">[1]!thsiFinD("ths_chg_ratio_w_stock",J16,$A$1,100)/100</f>
        <v>-1.2394366197183E-2</v>
      </c>
      <c r="O16" s="40">
        <f ca="1">[1]!thsiFinD("ths_market_value_stock",J16,$A$1)/100000000</f>
        <v>431.1415459081</v>
      </c>
      <c r="P16" s="52">
        <f>[2]!i_pq_pctchange(J16,"2025-9-29","")%</f>
        <v>0.55132743362831849</v>
      </c>
      <c r="Q16" s="52"/>
    </row>
    <row r="17" spans="4:17">
      <c r="D17" s="20"/>
      <c r="H17" s="36">
        <v>5</v>
      </c>
      <c r="I17" s="31">
        <v>46104</v>
      </c>
      <c r="J17" s="29" t="s">
        <v>226</v>
      </c>
      <c r="K17" s="29" t="s">
        <v>227</v>
      </c>
      <c r="L17" s="42">
        <v>0.46589999999999998</v>
      </c>
      <c r="M17" s="1" t="str">
        <f ca="1">[1]!thsiFinD("ths_the_sw_industry_stock",J17,100,$A$1)</f>
        <v>机械设备</v>
      </c>
      <c r="N17" s="7">
        <f ca="1">[1]!thsiFinD("ths_chg_ratio_w_stock",J17,$A$1,100)/100</f>
        <v>-5.9466019417476E-2</v>
      </c>
      <c r="O17" s="40">
        <f ca="1">[1]!thsiFinD("ths_market_value_stock",J17,$A$1)/100000000</f>
        <v>242.67109224999999</v>
      </c>
      <c r="P17" s="52">
        <f>[2]!i_pq_pctchange(J17,"2025-9-29","")%</f>
        <v>-0.1977225672877847</v>
      </c>
      <c r="Q17" s="52"/>
    </row>
    <row r="18" spans="4:17">
      <c r="D18" s="20"/>
      <c r="H18" s="1">
        <v>6</v>
      </c>
      <c r="I18" s="31">
        <v>46104</v>
      </c>
      <c r="J18" s="29" t="s">
        <v>228</v>
      </c>
      <c r="K18" s="29" t="s">
        <v>229</v>
      </c>
      <c r="L18" s="42">
        <v>1.5253000000000001</v>
      </c>
      <c r="M18" s="1" t="str">
        <f ca="1">[1]!thsiFinD("ths_the_sw_industry_stock",J18,100,$A$1)</f>
        <v>计算机</v>
      </c>
      <c r="N18" s="7">
        <f ca="1">[1]!thsiFinD("ths_chg_ratio_w_stock",J18,$A$1,100)/100</f>
        <v>-6.5371802124583002E-3</v>
      </c>
      <c r="O18" s="40">
        <f ca="1">[1]!thsiFinD("ths_market_value_stock",J18,$A$1)/100000000</f>
        <v>1699.3535999999999</v>
      </c>
      <c r="P18" s="52">
        <f>[2]!i_pq_pctchange(J18,"2025-9-29","")%</f>
        <v>-0.12170047235343129</v>
      </c>
      <c r="Q18" s="52"/>
    </row>
    <row r="19" spans="4:17">
      <c r="D19" s="20"/>
      <c r="H19" s="1">
        <v>7</v>
      </c>
      <c r="I19" s="31">
        <v>46104</v>
      </c>
      <c r="J19" s="29" t="s">
        <v>230</v>
      </c>
      <c r="K19" s="29" t="s">
        <v>532</v>
      </c>
      <c r="L19" s="42">
        <v>1.4961</v>
      </c>
      <c r="M19" s="1" t="str">
        <f ca="1">[1]!thsiFinD("ths_the_sw_industry_stock",J19,100,$A$1)</f>
        <v>传媒</v>
      </c>
      <c r="N19" s="7">
        <f ca="1">[1]!thsiFinD("ths_chg_ratio_w_stock",J19,$A$1,100)/100</f>
        <v>-3.1375166889185999E-2</v>
      </c>
      <c r="O19" s="40">
        <f ca="1">[1]!thsiFinD("ths_market_value_stock",J19,$A$1)/100000000</f>
        <v>520.94110003769993</v>
      </c>
      <c r="P19" s="52">
        <f>[2]!i_pq_pctchange(J19,"2025-9-29","")%</f>
        <v>1.2051671732522795</v>
      </c>
      <c r="Q19" s="52"/>
    </row>
    <row r="20" spans="4:17">
      <c r="D20" s="20"/>
      <c r="H20" s="1">
        <v>8</v>
      </c>
      <c r="I20" s="31">
        <v>46104</v>
      </c>
      <c r="J20" s="29" t="s">
        <v>232</v>
      </c>
      <c r="K20" s="29" t="s">
        <v>166</v>
      </c>
      <c r="L20" s="42">
        <v>6.516</v>
      </c>
      <c r="M20" s="1" t="str">
        <f ca="1">[1]!thsiFinD("ths_the_sw_industry_stock",J20,100,$A$1)</f>
        <v>非银金融</v>
      </c>
      <c r="N20" s="7">
        <f ca="1">[1]!thsiFinD("ths_chg_ratio_w_stock",J20,$A$1,100)/100</f>
        <v>-4.2180094786730002E-2</v>
      </c>
      <c r="O20" s="40">
        <f ca="1">[1]!thsiFinD("ths_market_value_stock",J20,$A$1)/100000000</f>
        <v>3193.9960141175002</v>
      </c>
      <c r="P20" s="52">
        <f>[2]!i_pq_pctchange(J20,"2025-9-29","")%</f>
        <v>-0.22448196469685333</v>
      </c>
      <c r="Q20" s="52"/>
    </row>
    <row r="21" spans="4:17">
      <c r="D21" s="20"/>
      <c r="E21" s="60"/>
      <c r="H21" s="1">
        <v>9</v>
      </c>
      <c r="I21" s="31">
        <v>46104</v>
      </c>
      <c r="J21" s="29" t="s">
        <v>234</v>
      </c>
      <c r="K21" s="29" t="s">
        <v>235</v>
      </c>
      <c r="L21" s="42">
        <v>0.51480000000000004</v>
      </c>
      <c r="M21" s="1" t="str">
        <f ca="1">[1]!thsiFinD("ths_the_sw_industry_stock",J21,100,$A$1)</f>
        <v>电力设备</v>
      </c>
      <c r="N21" s="7">
        <f ca="1">[1]!thsiFinD("ths_chg_ratio_w_stock",J21,$A$1,100)/100</f>
        <v>-4.2056074766354999E-2</v>
      </c>
      <c r="O21" s="40">
        <f ca="1">[1]!thsiFinD("ths_market_value_stock",J21,$A$1)/100000000</f>
        <v>290.10852504400003</v>
      </c>
      <c r="P21" s="52">
        <f>[2]!i_pq_pctchange(J21,"2025-9-29","")%</f>
        <v>-0.12637272578265857</v>
      </c>
      <c r="Q21" s="52"/>
    </row>
    <row r="22" spans="4:17">
      <c r="D22" s="20"/>
      <c r="H22" s="1">
        <v>10</v>
      </c>
      <c r="I22" s="31">
        <v>46104</v>
      </c>
      <c r="J22" s="29" t="s">
        <v>533</v>
      </c>
      <c r="K22" s="29" t="s">
        <v>534</v>
      </c>
      <c r="L22" s="42">
        <v>0.81940000000000002</v>
      </c>
      <c r="M22" s="1" t="str">
        <f ca="1">[1]!thsiFinD("ths_the_sw_industry_stock",J22,100,$A$1)</f>
        <v>电子</v>
      </c>
      <c r="N22" s="7">
        <f ca="1">[1]!thsiFinD("ths_chg_ratio_w_stock",J22,$A$1,100)/100</f>
        <v>-8.1532699510227999E-2</v>
      </c>
      <c r="O22" s="40">
        <f ca="1">[1]!thsiFinD("ths_market_value_stock",J22,$A$1)/100000000</f>
        <v>433.85044085999999</v>
      </c>
      <c r="P22" s="52">
        <f>[2]!i_pq_pctchange(J22,"2025-9-29","")%</f>
        <v>-0.15054622968292042</v>
      </c>
      <c r="Q22" s="52"/>
    </row>
    <row r="23" spans="4:17">
      <c r="D23" s="20"/>
      <c r="I23" s="31">
        <v>46104</v>
      </c>
      <c r="J23" s="29" t="s">
        <v>238</v>
      </c>
      <c r="K23" s="29" t="s">
        <v>167</v>
      </c>
      <c r="L23" s="42">
        <v>0.43709999999999999</v>
      </c>
      <c r="M23" s="1" t="str">
        <f ca="1">[1]!thsiFinD("ths_the_sw_industry_stock",J23,100,$A$1)</f>
        <v>医药生物</v>
      </c>
      <c r="N23" s="7">
        <f ca="1">[1]!thsiFinD("ths_chg_ratio_w_stock",J23,$A$1,100)/100</f>
        <v>-3.2138442521631998E-2</v>
      </c>
      <c r="O23" s="40">
        <f ca="1">[1]!thsiFinD("ths_market_value_stock",J23,$A$1)/100000000</f>
        <v>374.86747438019995</v>
      </c>
      <c r="P23" s="52">
        <f>[2]!i_pq_pctchange(J23,"2025-9-29","")%</f>
        <v>-0.24384355383872525</v>
      </c>
      <c r="Q23" s="52"/>
    </row>
    <row r="24" spans="4:17">
      <c r="D24" s="20"/>
      <c r="I24" s="31">
        <v>46104</v>
      </c>
      <c r="J24" s="29" t="s">
        <v>535</v>
      </c>
      <c r="K24" s="29" t="s">
        <v>168</v>
      </c>
      <c r="L24" s="42">
        <v>3.2299000000000002</v>
      </c>
      <c r="M24" s="1" t="str">
        <f ca="1">[1]!thsiFinD("ths_the_sw_industry_stock",J24,100,$A$1)</f>
        <v>机械设备</v>
      </c>
      <c r="N24" s="7">
        <f ca="1">[1]!thsiFinD("ths_chg_ratio_w_stock",J24,$A$1,100)/100</f>
        <v>-5.5502129413381E-2</v>
      </c>
      <c r="O24" s="40">
        <f ca="1">[1]!thsiFinD("ths_market_value_stock",J24,$A$1)/100000000</f>
        <v>1861.21967075</v>
      </c>
      <c r="P24" s="52">
        <f>[2]!i_pq_pctchange(J24,"2025-9-29","")%</f>
        <v>-0.15685553102771665</v>
      </c>
      <c r="Q24" s="52"/>
    </row>
    <row r="25" spans="4:17">
      <c r="I25" s="31">
        <v>46104</v>
      </c>
      <c r="J25" s="29" t="s">
        <v>169</v>
      </c>
      <c r="K25" s="29" t="s">
        <v>243</v>
      </c>
      <c r="L25" s="42">
        <v>1.3836999999999999</v>
      </c>
      <c r="M25" s="1" t="str">
        <f ca="1">[1]!thsiFinD("ths_the_sw_industry_stock",J25,100,$A$1)</f>
        <v>电子</v>
      </c>
      <c r="N25" s="7">
        <f ca="1">[1]!thsiFinD("ths_chg_ratio_w_stock",J25,$A$1,100)/100</f>
        <v>-2.3857788866364998E-2</v>
      </c>
      <c r="O25" s="40">
        <f ca="1">[1]!thsiFinD("ths_market_value_stock",J25,$A$1)/100000000</f>
        <v>605.69796738800005</v>
      </c>
      <c r="P25" s="52">
        <f>[2]!i_pq_pctchange(J25,"2025-9-29","")%</f>
        <v>1.4491392801251957</v>
      </c>
      <c r="Q25" s="52"/>
    </row>
    <row r="26" spans="4:17">
      <c r="I26" s="31">
        <v>46104</v>
      </c>
      <c r="J26" s="29" t="s">
        <v>244</v>
      </c>
      <c r="K26" s="29" t="s">
        <v>170</v>
      </c>
      <c r="L26" s="42">
        <v>0.79679999999999995</v>
      </c>
      <c r="M26" s="1" t="str">
        <f ca="1">[1]!thsiFinD("ths_the_sw_industry_stock",J26,100,$A$1)</f>
        <v>电力设备</v>
      </c>
      <c r="N26" s="7">
        <f ca="1">[1]!thsiFinD("ths_chg_ratio_w_stock",J26,$A$1,100)/100</f>
        <v>1.1816838995568998E-2</v>
      </c>
      <c r="O26" s="40">
        <f ca="1">[1]!thsiFinD("ths_market_value_stock",J26,$A$1)/100000000</f>
        <v>506.20471020400004</v>
      </c>
      <c r="P26" s="52">
        <f>[2]!i_pq_pctchange(J26,"2025-9-29","")%</f>
        <v>-0.18917782651246351</v>
      </c>
      <c r="Q26" s="52"/>
    </row>
    <row r="27" spans="4:17">
      <c r="I27" s="31">
        <v>46104</v>
      </c>
      <c r="J27" s="29" t="s">
        <v>171</v>
      </c>
      <c r="K27" s="29" t="s">
        <v>247</v>
      </c>
      <c r="L27" s="42">
        <v>1.0282</v>
      </c>
      <c r="M27" s="1" t="str">
        <f ca="1">[1]!thsiFinD("ths_the_sw_industry_stock",J27,100,$A$1)</f>
        <v>电子</v>
      </c>
      <c r="N27" s="7">
        <f ca="1">[1]!thsiFinD("ths_chg_ratio_w_stock",J27,$A$1,100)/100</f>
        <v>5.4553084347460003E-3</v>
      </c>
      <c r="O27" s="40">
        <f ca="1">[1]!thsiFinD("ths_market_value_stock",J27,$A$1)/100000000</f>
        <v>578.08378615399999</v>
      </c>
      <c r="P27" s="52">
        <f>[2]!i_pq_pctchange(J27,"2025-9-29","")%</f>
        <v>0.46436865908813102</v>
      </c>
      <c r="Q27" s="52"/>
    </row>
    <row r="28" spans="4:17">
      <c r="I28" s="31">
        <v>46104</v>
      </c>
      <c r="J28" s="29" t="s">
        <v>536</v>
      </c>
      <c r="K28" s="29" t="s">
        <v>249</v>
      </c>
      <c r="L28" s="42">
        <v>0.62039999999999995</v>
      </c>
      <c r="M28" s="1" t="str">
        <f ca="1">[1]!thsiFinD("ths_the_sw_industry_stock",J28,100,$A$1)</f>
        <v>传媒</v>
      </c>
      <c r="N28" s="7">
        <f ca="1">[1]!thsiFinD("ths_chg_ratio_w_stock",J28,$A$1,100)/100</f>
        <v>-5.5961070559610998E-2</v>
      </c>
      <c r="O28" s="40">
        <f ca="1">[1]!thsiFinD("ths_market_value_stock",J28,$A$1)/100000000</f>
        <v>455.29292464639997</v>
      </c>
      <c r="P28" s="52">
        <f>[2]!i_pq_pctchange(J28,"2025-9-29","")%</f>
        <v>-0.20694941236586606</v>
      </c>
      <c r="Q28" s="52"/>
    </row>
    <row r="29" spans="4:17">
      <c r="I29" s="31">
        <v>46104</v>
      </c>
      <c r="J29" s="29" t="s">
        <v>537</v>
      </c>
      <c r="K29" s="29" t="s">
        <v>538</v>
      </c>
      <c r="L29" s="42">
        <v>0.69059999999999999</v>
      </c>
      <c r="M29" s="1" t="str">
        <f ca="1">[1]!thsiFinD("ths_the_sw_industry_stock",J29,100,$A$1)</f>
        <v>医药生物</v>
      </c>
      <c r="N29" s="7">
        <f ca="1">[1]!thsiFinD("ths_chg_ratio_w_stock",J29,$A$1,100)/100</f>
        <v>-8.442956230566899E-2</v>
      </c>
      <c r="O29" s="40">
        <f ca="1">[1]!thsiFinD("ths_market_value_stock",J29,$A$1)/100000000</f>
        <v>351.81650409839995</v>
      </c>
      <c r="P29" s="52">
        <f>[2]!i_pq_pctchange(J29,"2025-9-29","")%</f>
        <v>-0.12722298221614214</v>
      </c>
      <c r="Q29" s="52"/>
    </row>
    <row r="30" spans="4:17">
      <c r="I30" s="31">
        <v>46104</v>
      </c>
      <c r="J30" s="29" t="s">
        <v>252</v>
      </c>
      <c r="K30" s="29" t="s">
        <v>253</v>
      </c>
      <c r="L30" s="42">
        <v>4.8080999999999996</v>
      </c>
      <c r="M30" s="1" t="str">
        <f ca="1">[1]!thsiFinD("ths_the_sw_industry_stock",J30,100,$A$1)</f>
        <v>电力设备</v>
      </c>
      <c r="N30" s="7">
        <f ca="1">[1]!thsiFinD("ths_chg_ratio_w_stock",J30,$A$1,100)/100</f>
        <v>-1.0205827014082999E-2</v>
      </c>
      <c r="O30" s="40">
        <f ca="1">[1]!thsiFinD("ths_market_value_stock",J30,$A$1)/100000000</f>
        <v>3599.0950320640004</v>
      </c>
      <c r="P30" s="52">
        <f>[2]!i_pq_pctchange(J30,"2025-9-29","")%</f>
        <v>0.10940381741648997</v>
      </c>
      <c r="Q30" s="52"/>
    </row>
    <row r="31" spans="4:17">
      <c r="I31" s="31">
        <v>46104</v>
      </c>
      <c r="J31" s="29" t="s">
        <v>172</v>
      </c>
      <c r="K31" s="29" t="s">
        <v>255</v>
      </c>
      <c r="L31" s="42">
        <v>10.263</v>
      </c>
      <c r="M31" s="1" t="str">
        <f ca="1">[1]!thsiFinD("ths_the_sw_industry_stock",J31,100,$A$1)</f>
        <v>通信</v>
      </c>
      <c r="N31" s="7">
        <f ca="1">[1]!thsiFinD("ths_chg_ratio_w_stock",J31,$A$1,100)/100</f>
        <v>0.12910962695104</v>
      </c>
      <c r="O31" s="40">
        <f ca="1">[1]!thsiFinD("ths_market_value_stock",J31,$A$1)/100000000</f>
        <v>6800.0442040799999</v>
      </c>
      <c r="P31" s="52">
        <f>[2]!i_pq_pctchange(J31,"2025-9-29","")%</f>
        <v>0.48085172698119094</v>
      </c>
      <c r="Q31" s="52"/>
    </row>
    <row r="32" spans="4:17">
      <c r="I32" s="31">
        <v>46104</v>
      </c>
      <c r="J32" s="29" t="s">
        <v>256</v>
      </c>
      <c r="K32" s="29" t="s">
        <v>257</v>
      </c>
      <c r="L32" s="42">
        <v>0.76470000000000005</v>
      </c>
      <c r="M32" s="1" t="str">
        <f ca="1">[1]!thsiFinD("ths_the_sw_industry_stock",J32,100,$A$1)</f>
        <v>电力设备</v>
      </c>
      <c r="N32" s="7">
        <f ca="1">[1]!thsiFinD("ths_chg_ratio_w_stock",J32,$A$1,100)/100</f>
        <v>-3.1137470874814999E-2</v>
      </c>
      <c r="O32" s="40">
        <f ca="1">[1]!thsiFinD("ths_market_value_stock",J32,$A$1)/100000000</f>
        <v>598.9807587478</v>
      </c>
      <c r="P32" s="52">
        <f>[2]!i_pq_pctchange(J32,"2025-9-29","")%</f>
        <v>1.757508342602887E-2</v>
      </c>
      <c r="Q32" s="52"/>
    </row>
    <row r="33" spans="9:17">
      <c r="I33" s="31">
        <v>46104</v>
      </c>
      <c r="J33" s="29" t="s">
        <v>258</v>
      </c>
      <c r="K33" s="29" t="s">
        <v>539</v>
      </c>
      <c r="L33" s="42">
        <v>0.8851</v>
      </c>
      <c r="M33" s="1" t="str">
        <f ca="1">[1]!thsiFinD("ths_the_sw_industry_stock",J33,100,$A$1)</f>
        <v>计算机</v>
      </c>
      <c r="N33" s="7">
        <f ca="1">[1]!thsiFinD("ths_chg_ratio_w_stock",J33,$A$1,100)/100</f>
        <v>-7.8396436525611998E-2</v>
      </c>
      <c r="O33" s="40">
        <f ca="1">[1]!thsiFinD("ths_market_value_stock",J33,$A$1)/100000000</f>
        <v>329.5548060058</v>
      </c>
      <c r="P33" s="52">
        <f>[2]!i_pq_pctchange(J33,"2025-9-29","")%</f>
        <v>-0.2940720699205398</v>
      </c>
      <c r="Q33" s="52"/>
    </row>
    <row r="34" spans="9:17">
      <c r="I34" s="31">
        <v>46104</v>
      </c>
      <c r="J34" s="29" t="s">
        <v>173</v>
      </c>
      <c r="K34" s="29" t="s">
        <v>261</v>
      </c>
      <c r="L34" s="42">
        <v>0.75549999999999995</v>
      </c>
      <c r="M34" s="1" t="str">
        <f ca="1">[1]!thsiFinD("ths_the_sw_industry_stock",J34,100,$A$1)</f>
        <v>电子</v>
      </c>
      <c r="N34" s="7">
        <f ca="1">[1]!thsiFinD("ths_chg_ratio_w_stock",J34,$A$1,100)/100</f>
        <v>-7.4632790789996004E-2</v>
      </c>
      <c r="O34" s="40">
        <f ca="1">[1]!thsiFinD("ths_market_value_stock",J34,$A$1)/100000000</f>
        <v>322.21734817859999</v>
      </c>
      <c r="P34" s="52">
        <f>[2]!i_pq_pctchange(J34,"2025-9-29","")%</f>
        <v>0.12472858866103721</v>
      </c>
      <c r="Q34" s="52"/>
    </row>
    <row r="35" spans="9:17">
      <c r="I35" s="31">
        <v>46104</v>
      </c>
      <c r="J35" s="29" t="s">
        <v>540</v>
      </c>
      <c r="K35" s="29" t="s">
        <v>263</v>
      </c>
      <c r="L35" s="42">
        <v>0.70589999999999997</v>
      </c>
      <c r="M35" s="1" t="str">
        <f ca="1">[1]!thsiFinD("ths_the_sw_industry_stock",J35,100,$A$1)</f>
        <v>医药生物</v>
      </c>
      <c r="N35" s="7">
        <f ca="1">[1]!thsiFinD("ths_chg_ratio_w_stock",J35,$A$1,100)/100</f>
        <v>-8.8913082925059006E-2</v>
      </c>
      <c r="O35" s="40">
        <f ca="1">[1]!thsiFinD("ths_market_value_stock",J35,$A$1)/100000000</f>
        <v>412.32615050929002</v>
      </c>
      <c r="P35" s="52">
        <f>[2]!i_pq_pctchange(J35,"2025-9-29","")%</f>
        <v>-0.15314555574295829</v>
      </c>
      <c r="Q35" s="52"/>
    </row>
    <row r="36" spans="9:17">
      <c r="I36" s="31">
        <v>46104</v>
      </c>
      <c r="J36" s="29" t="s">
        <v>264</v>
      </c>
      <c r="K36" s="29" t="s">
        <v>541</v>
      </c>
      <c r="L36" s="42">
        <v>0.56569999999999998</v>
      </c>
      <c r="M36" s="1" t="str">
        <f ca="1">[1]!thsiFinD("ths_the_sw_industry_stock",J36,100,$A$1)</f>
        <v>电子</v>
      </c>
      <c r="N36" s="7">
        <f ca="1">[1]!thsiFinD("ths_chg_ratio_w_stock",J36,$A$1,100)/100</f>
        <v>-4.7927461139896002E-2</v>
      </c>
      <c r="O36" s="40">
        <f ca="1">[1]!thsiFinD("ths_market_value_stock",J36,$A$1)/100000000</f>
        <v>399.36062344499999</v>
      </c>
      <c r="P36" s="52">
        <f>[2]!i_pq_pctchange(J36,"2025-9-29","")%</f>
        <v>5.3008595988538687E-2</v>
      </c>
      <c r="Q36" s="52"/>
    </row>
    <row r="37" spans="9:17">
      <c r="I37" s="31">
        <v>46104</v>
      </c>
      <c r="J37" s="29" t="s">
        <v>266</v>
      </c>
      <c r="K37" s="29" t="s">
        <v>267</v>
      </c>
      <c r="L37" s="42">
        <v>3.6545000000000001</v>
      </c>
      <c r="M37" s="1" t="str">
        <f ca="1">[1]!thsiFinD("ths_the_sw_industry_stock",J37,100,$A$1)</f>
        <v>通信</v>
      </c>
      <c r="N37" s="7">
        <f ca="1">[1]!thsiFinD("ths_chg_ratio_w_stock",J37,$A$1,100)/100</f>
        <v>-0.04</v>
      </c>
      <c r="O37" s="40">
        <f ca="1">[1]!thsiFinD("ths_market_value_stock",J37,$A$1)/100000000</f>
        <v>2425.5375799200001</v>
      </c>
      <c r="P37" s="52">
        <f>[2]!i_pq_pctchange(J37,"2025-9-29","")%</f>
        <v>0.79465056082830055</v>
      </c>
      <c r="Q37" s="52"/>
    </row>
    <row r="38" spans="9:17">
      <c r="I38" s="31">
        <v>46104</v>
      </c>
      <c r="J38" s="29" t="s">
        <v>268</v>
      </c>
      <c r="K38" s="69" t="s">
        <v>269</v>
      </c>
      <c r="L38" s="42">
        <v>1.2726999999999999</v>
      </c>
      <c r="M38" s="1" t="str">
        <f ca="1">[1]!thsiFinD("ths_the_sw_industry_stock",J38,100,$A$1)</f>
        <v>国防军工</v>
      </c>
      <c r="N38" s="7">
        <f ca="1">[1]!thsiFinD("ths_chg_ratio_w_stock",J38,$A$1,100)/100</f>
        <v>-0.14073748902546002</v>
      </c>
      <c r="O38" s="40">
        <f ca="1">[1]!thsiFinD("ths_market_value_stock",J38,$A$1)/100000000</f>
        <v>511.14337156510004</v>
      </c>
      <c r="P38" s="52">
        <f>[2]!i_pq_pctchange(J38,"2025-9-29","")%</f>
        <v>0.36043925493466777</v>
      </c>
      <c r="Q38" s="52"/>
    </row>
    <row r="39" spans="9:17">
      <c r="I39" s="31">
        <v>46104</v>
      </c>
      <c r="J39" s="29" t="s">
        <v>542</v>
      </c>
      <c r="K39" s="29" t="s">
        <v>271</v>
      </c>
      <c r="L39" s="42">
        <v>1.7758</v>
      </c>
      <c r="M39" s="1" t="str">
        <f ca="1">[1]!thsiFinD("ths_the_sw_industry_stock",J39,100,$A$1)</f>
        <v>电子</v>
      </c>
      <c r="N39" s="7">
        <f ca="1">[1]!thsiFinD("ths_chg_ratio_w_stock",J39,$A$1,100)/100</f>
        <v>-5.2929366672749998E-3</v>
      </c>
      <c r="O39" s="40">
        <f ca="1">[1]!thsiFinD("ths_market_value_stock",J39,$A$1)/100000000</f>
        <v>1044.4910671949999</v>
      </c>
      <c r="P39" s="52">
        <f>[2]!i_pq_pctchange(J39,"2025-9-29","")%</f>
        <v>0.1930823117338003</v>
      </c>
      <c r="Q39" s="52"/>
    </row>
    <row r="40" spans="9:17">
      <c r="I40" s="31">
        <v>46104</v>
      </c>
      <c r="J40" s="29" t="s">
        <v>272</v>
      </c>
      <c r="K40" s="29" t="s">
        <v>273</v>
      </c>
      <c r="L40" s="42">
        <v>1.169</v>
      </c>
      <c r="M40" s="1" t="str">
        <f ca="1">[1]!thsiFinD("ths_the_sw_industry_stock",J40,100,$A$1)</f>
        <v>传媒</v>
      </c>
      <c r="N40" s="7">
        <f ca="1">[1]!thsiFinD("ths_chg_ratio_w_stock",J40,$A$1,100)/100</f>
        <v>6.1571965947337007E-2</v>
      </c>
      <c r="O40" s="40">
        <f ca="1">[1]!thsiFinD("ths_market_value_stock",J40,$A$1)/100000000</f>
        <v>673.12239819859997</v>
      </c>
      <c r="P40" s="52">
        <f>[2]!i_pq_pctchange(J40,"2025-9-29","")%</f>
        <v>0.18838652482269502</v>
      </c>
      <c r="Q40" s="52"/>
    </row>
    <row r="41" spans="9:17">
      <c r="I41" s="31">
        <v>46104</v>
      </c>
      <c r="J41" s="29" t="s">
        <v>274</v>
      </c>
      <c r="K41" s="29" t="s">
        <v>275</v>
      </c>
      <c r="L41" s="42">
        <v>1.5314000000000001</v>
      </c>
      <c r="M41" s="1" t="str">
        <f ca="1">[1]!thsiFinD("ths_the_sw_industry_stock",J41,100,$A$1)</f>
        <v>电子</v>
      </c>
      <c r="N41" s="7">
        <f ca="1">[1]!thsiFinD("ths_chg_ratio_w_stock",J41,$A$1,100)/100</f>
        <v>-6.8549666772453E-2</v>
      </c>
      <c r="O41" s="40">
        <f ca="1">[1]!thsiFinD("ths_market_value_stock",J41,$A$1)/100000000</f>
        <v>1518.0110673982999</v>
      </c>
      <c r="P41" s="52">
        <f>[2]!i_pq_pctchange(J41,"2025-9-29","")%</f>
        <v>-7.9157127240548686E-2</v>
      </c>
      <c r="Q41" s="52"/>
    </row>
    <row r="42" spans="9:17">
      <c r="I42" s="31">
        <v>46104</v>
      </c>
      <c r="J42" s="29" t="s">
        <v>276</v>
      </c>
      <c r="K42" s="29" t="s">
        <v>277</v>
      </c>
      <c r="L42" s="42">
        <v>1.5887</v>
      </c>
      <c r="M42" s="1" t="str">
        <f ca="1">[1]!thsiFinD("ths_the_sw_industry_stock",J42,100,$A$1)</f>
        <v>通信</v>
      </c>
      <c r="N42" s="7">
        <f ca="1">[1]!thsiFinD("ths_chg_ratio_w_stock",J42,$A$1,100)/100</f>
        <v>2.9087862101986998E-2</v>
      </c>
      <c r="O42" s="40">
        <f ca="1">[1]!thsiFinD("ths_market_value_stock",J42,$A$1)/100000000</f>
        <v>1405.0451697081</v>
      </c>
      <c r="P42" s="52">
        <f>[2]!i_pq_pctchange(J42,"2025-9-29","")%</f>
        <v>0.62667928098391656</v>
      </c>
      <c r="Q42" s="52"/>
    </row>
    <row r="43" spans="9:17">
      <c r="I43" s="31">
        <v>46104</v>
      </c>
      <c r="J43" s="29" t="s">
        <v>278</v>
      </c>
      <c r="K43" s="29" t="s">
        <v>279</v>
      </c>
      <c r="L43" s="42">
        <v>1.3494999999999999</v>
      </c>
      <c r="M43" s="1" t="str">
        <f ca="1">[1]!thsiFinD("ths_the_sw_industry_stock",J43,100,$A$1)</f>
        <v>电力设备</v>
      </c>
      <c r="N43" s="7">
        <f ca="1">[1]!thsiFinD("ths_chg_ratio_w_stock",J43,$A$1,100)/100</f>
        <v>-5.5684007707129002E-2</v>
      </c>
      <c r="O43" s="40">
        <f ca="1">[1]!thsiFinD("ths_market_value_stock",J43,$A$1)/100000000</f>
        <v>807.87530883251009</v>
      </c>
      <c r="P43" s="52">
        <f>[2]!i_pq_pctchange(J43,"2025-9-29","")%</f>
        <v>-0.25164147198045506</v>
      </c>
      <c r="Q43" s="52"/>
    </row>
    <row r="44" spans="9:17">
      <c r="I44" s="31">
        <v>46104</v>
      </c>
      <c r="J44" s="29" t="s">
        <v>174</v>
      </c>
      <c r="K44" s="29" t="s">
        <v>281</v>
      </c>
      <c r="L44" s="42">
        <v>0.56830000000000003</v>
      </c>
      <c r="M44" s="1" t="str">
        <f ca="1">[1]!thsiFinD("ths_the_sw_industry_stock",J44,100,$A$1)</f>
        <v>电子</v>
      </c>
      <c r="N44" s="7">
        <f ca="1">[1]!thsiFinD("ths_chg_ratio_w_stock",J44,$A$1,100)/100</f>
        <v>-4.4922913343966003E-2</v>
      </c>
      <c r="O44" s="40">
        <f ca="1">[1]!thsiFinD("ths_market_value_stock",J44,$A$1)/100000000</f>
        <v>296.5760583526</v>
      </c>
      <c r="P44" s="52">
        <f>[2]!i_pq_pctchange(J44,"2025-9-29","")%</f>
        <v>-0.28397768035073734</v>
      </c>
      <c r="Q44" s="52"/>
    </row>
    <row r="45" spans="9:17">
      <c r="I45" s="31">
        <v>46104</v>
      </c>
      <c r="J45" s="29" t="s">
        <v>282</v>
      </c>
      <c r="K45" s="29" t="s">
        <v>283</v>
      </c>
      <c r="L45" s="42">
        <v>0.55479999999999996</v>
      </c>
      <c r="M45" s="1" t="str">
        <f ca="1">[1]!thsiFinD("ths_the_sw_industry_stock",J45,100,$A$1)</f>
        <v>国防军工</v>
      </c>
      <c r="N45" s="7">
        <f ca="1">[1]!thsiFinD("ths_chg_ratio_w_stock",J45,$A$1,100)/100</f>
        <v>-3.2487623762375E-3</v>
      </c>
      <c r="O45" s="40">
        <f ca="1">[1]!thsiFinD("ths_market_value_stock",J45,$A$1)/100000000</f>
        <v>336.72356537889999</v>
      </c>
      <c r="P45" s="52">
        <f>[2]!i_pq_pctchange(J45,"2025-9-29","")%</f>
        <v>-0.19723398953401439</v>
      </c>
      <c r="Q45" s="52"/>
    </row>
    <row r="46" spans="9:17">
      <c r="I46" s="31">
        <v>46104</v>
      </c>
      <c r="J46" s="29" t="s">
        <v>284</v>
      </c>
      <c r="K46" s="29" t="s">
        <v>285</v>
      </c>
      <c r="L46" s="42">
        <v>4.1612999999999998</v>
      </c>
      <c r="M46" s="1" t="str">
        <f ca="1">[1]!thsiFinD("ths_the_sw_industry_stock",J46,100,$A$1)</f>
        <v>电子</v>
      </c>
      <c r="N46" s="7">
        <f ca="1">[1]!thsiFinD("ths_chg_ratio_w_stock",J46,$A$1,100)/100</f>
        <v>1.7611328756784001E-3</v>
      </c>
      <c r="O46" s="40">
        <f ca="1">[1]!thsiFinD("ths_market_value_stock",J46,$A$1)/100000000</f>
        <v>2431.9917427935998</v>
      </c>
      <c r="P46" s="52">
        <f>[2]!i_pq_pctchange(J46,"2025-9-29","")%</f>
        <v>-2.3405746320952825E-2</v>
      </c>
      <c r="Q46" s="52"/>
    </row>
    <row r="47" spans="9:17">
      <c r="I47" s="31">
        <v>46104</v>
      </c>
      <c r="J47" s="29" t="s">
        <v>286</v>
      </c>
      <c r="K47" s="69" t="s">
        <v>287</v>
      </c>
      <c r="L47" s="42">
        <v>0.57340000000000002</v>
      </c>
      <c r="M47" s="1" t="str">
        <f ca="1">[1]!thsiFinD("ths_the_sw_industry_stock",J47,100,$A$1)</f>
        <v>计算机</v>
      </c>
      <c r="N47" s="7">
        <f ca="1">[1]!thsiFinD("ths_chg_ratio_w_stock",J47,$A$1,100)/100</f>
        <v>-6.4487236901030004E-2</v>
      </c>
      <c r="O47" s="40">
        <f ca="1">[1]!thsiFinD("ths_market_value_stock",J47,$A$1)/100000000</f>
        <v>288.76527594480001</v>
      </c>
      <c r="P47" s="52">
        <f>[2]!i_pq_pctchange(J47,"2025-9-29","")%</f>
        <v>-0.14478711790393006</v>
      </c>
      <c r="Q47" s="52"/>
    </row>
    <row r="48" spans="9:17">
      <c r="I48" s="31">
        <v>46104</v>
      </c>
      <c r="J48" s="29" t="s">
        <v>288</v>
      </c>
      <c r="K48" s="29" t="s">
        <v>289</v>
      </c>
      <c r="L48" s="42">
        <v>7.1985000000000001</v>
      </c>
      <c r="M48" s="1" t="str">
        <f ca="1">[1]!thsiFinD("ths_the_sw_industry_stock",J48,100,$A$1)</f>
        <v>通信</v>
      </c>
      <c r="N48" s="7">
        <f ca="1">[1]!thsiFinD("ths_chg_ratio_w_stock",J48,$A$1,100)/100</f>
        <v>0.21069461716113</v>
      </c>
      <c r="O48" s="40">
        <f ca="1">[1]!thsiFinD("ths_market_value_stock",J48,$A$1)/100000000</f>
        <v>4741.921422896</v>
      </c>
      <c r="P48" s="52">
        <f>[2]!i_pq_pctchange(J48,"2025-9-29","")%</f>
        <v>0.27553475935828886</v>
      </c>
      <c r="Q48" s="52"/>
    </row>
    <row r="49" spans="8:17">
      <c r="I49" s="31">
        <v>46104</v>
      </c>
      <c r="J49" s="29" t="s">
        <v>290</v>
      </c>
      <c r="K49" s="29" t="s">
        <v>291</v>
      </c>
      <c r="L49" s="42">
        <v>0.73160000000000003</v>
      </c>
      <c r="M49" s="1" t="str">
        <f ca="1">[1]!thsiFinD("ths_the_sw_industry_stock",J49,100,$A$1)</f>
        <v>通信</v>
      </c>
      <c r="N49" s="7">
        <f ca="1">[1]!thsiFinD("ths_chg_ratio_w_stock",J49,$A$1,100)/100</f>
        <v>-8.0075542965061003E-2</v>
      </c>
      <c r="O49" s="40">
        <f ca="1">[1]!thsiFinD("ths_market_value_stock",J49,$A$1)/100000000</f>
        <v>426.07325467139998</v>
      </c>
      <c r="P49" s="52">
        <f>[2]!i_pq_pctchange(J49,"2025-9-29","")%</f>
        <v>0.33953616280135668</v>
      </c>
      <c r="Q49" s="52"/>
    </row>
    <row r="50" spans="8:17">
      <c r="I50" s="31">
        <v>46104</v>
      </c>
      <c r="J50" s="29" t="s">
        <v>292</v>
      </c>
      <c r="K50" s="29" t="s">
        <v>293</v>
      </c>
      <c r="L50" s="42">
        <v>1.409</v>
      </c>
      <c r="M50" s="1" t="str">
        <f ca="1">[1]!thsiFinD("ths_the_sw_industry_stock",J50,100,$A$1)</f>
        <v>电子</v>
      </c>
      <c r="N50" s="7">
        <f ca="1">[1]!thsiFinD("ths_chg_ratio_w_stock",J50,$A$1,100)/100</f>
        <v>-4.6698872785829E-3</v>
      </c>
      <c r="O50" s="40">
        <f ca="1">[1]!thsiFinD("ths_market_value_stock",J50,$A$1)/100000000</f>
        <v>784.24851142679995</v>
      </c>
      <c r="P50" s="52">
        <f>[2]!i_pq_pctchange(J50,"2025-9-29","")%</f>
        <v>0.2930962343096235</v>
      </c>
      <c r="Q50" s="52"/>
    </row>
    <row r="51" spans="8:17">
      <c r="I51" s="31">
        <v>46104</v>
      </c>
      <c r="J51" s="29" t="s">
        <v>543</v>
      </c>
      <c r="K51" s="29" t="s">
        <v>175</v>
      </c>
      <c r="L51" s="42">
        <v>0.75460000000000005</v>
      </c>
      <c r="M51" s="1" t="str">
        <f ca="1">[1]!thsiFinD("ths_the_sw_industry_stock",J51,100,$A$1)</f>
        <v>电力设备</v>
      </c>
      <c r="N51" s="7">
        <f ca="1">[1]!thsiFinD("ths_chg_ratio_w_stock",J51,$A$1,100)/100</f>
        <v>5.4135706703682E-2</v>
      </c>
      <c r="O51" s="40">
        <f ca="1">[1]!thsiFinD("ths_market_value_stock",J51,$A$1)/100000000</f>
        <v>449.64497974599999</v>
      </c>
      <c r="P51" s="52">
        <f>[2]!i_pq_pctchange(J51,"2025-9-29","")%</f>
        <v>0.36009270965023177</v>
      </c>
      <c r="Q51" s="52"/>
    </row>
    <row r="52" spans="8:17">
      <c r="I52" s="31">
        <v>46104</v>
      </c>
      <c r="J52" s="29" t="s">
        <v>296</v>
      </c>
      <c r="K52" s="29" t="s">
        <v>297</v>
      </c>
      <c r="L52" s="42">
        <v>0.62609999999999999</v>
      </c>
      <c r="M52" s="1" t="str">
        <f ca="1">[1]!thsiFinD("ths_the_sw_industry_stock",J52,100,$A$1)</f>
        <v>有色金属</v>
      </c>
      <c r="N52" s="7">
        <f ca="1">[1]!thsiFinD("ths_chg_ratio_w_stock",J52,$A$1,100)/100</f>
        <v>-9.3482748451784003E-2</v>
      </c>
      <c r="O52" s="40">
        <f ca="1">[1]!thsiFinD("ths_market_value_stock",J52,$A$1)/100000000</f>
        <v>390.89504667489001</v>
      </c>
      <c r="P52" s="52">
        <f>[2]!i_pq_pctchange(J52,"2025-9-29","")%</f>
        <v>-0.10865052873077718</v>
      </c>
      <c r="Q52" s="52"/>
    </row>
    <row r="53" spans="8:17">
      <c r="I53" s="31">
        <v>46104</v>
      </c>
      <c r="J53" s="29" t="s">
        <v>298</v>
      </c>
      <c r="K53" s="29" t="s">
        <v>299</v>
      </c>
      <c r="L53" s="42">
        <v>19.721699999999998</v>
      </c>
      <c r="M53" s="1" t="str">
        <f ca="1">[1]!thsiFinD("ths_the_sw_industry_stock",J53,100,$A$1)</f>
        <v>电力设备</v>
      </c>
      <c r="N53" s="7">
        <f ca="1">[1]!thsiFinD("ths_chg_ratio_w_stock",J53,$A$1,100)/100</f>
        <v>4.0302267002519002E-2</v>
      </c>
      <c r="O53" s="40">
        <f ca="1">[1]!thsiFinD("ths_market_value_stock",J53,$A$1)/100000000</f>
        <v>19161.617692525</v>
      </c>
      <c r="P53" s="52">
        <f>[2]!i_pq_pctchange(J53,"2025-9-29","")%</f>
        <v>8.5699263932702538E-2</v>
      </c>
      <c r="Q53" s="52"/>
    </row>
    <row r="54" spans="8:17">
      <c r="I54" s="31">
        <v>46104</v>
      </c>
      <c r="J54" s="29" t="s">
        <v>300</v>
      </c>
      <c r="K54" s="29" t="s">
        <v>301</v>
      </c>
      <c r="L54" s="42">
        <v>0.62619999999999998</v>
      </c>
      <c r="M54" s="1" t="str">
        <f ca="1">[1]!thsiFinD("ths_the_sw_industry_stock",J54,100,$A$1)</f>
        <v>医药生物</v>
      </c>
      <c r="N54" s="7">
        <f ca="1">[1]!thsiFinD("ths_chg_ratio_w_stock",J54,$A$1,100)/100</f>
        <v>-5.5055775458798001E-2</v>
      </c>
      <c r="O54" s="40">
        <f ca="1">[1]!thsiFinD("ths_market_value_stock",J54,$A$1)/100000000</f>
        <v>446.42498615559998</v>
      </c>
      <c r="P54" s="52">
        <f>[2]!i_pq_pctchange(J54,"2025-9-29","")%</f>
        <v>-0.21775394697646699</v>
      </c>
      <c r="Q54" s="52"/>
    </row>
    <row r="55" spans="8:17">
      <c r="I55" s="31">
        <v>46104</v>
      </c>
      <c r="J55" s="29" t="s">
        <v>302</v>
      </c>
      <c r="K55" s="29" t="s">
        <v>303</v>
      </c>
      <c r="L55" s="42">
        <v>2.5421</v>
      </c>
      <c r="M55" s="1" t="str">
        <f ca="1">[1]!thsiFinD("ths_the_sw_industry_stock",J55,100,$A$1)</f>
        <v>医药生物</v>
      </c>
      <c r="N55" s="7">
        <f ca="1">[1]!thsiFinD("ths_chg_ratio_w_stock",J55,$A$1,100)/100</f>
        <v>-5.0680405443243003E-2</v>
      </c>
      <c r="O55" s="40">
        <f ca="1">[1]!thsiFinD("ths_market_value_stock",J55,$A$1)/100000000</f>
        <v>2055.3306511087999</v>
      </c>
      <c r="P55" s="52">
        <f>[2]!i_pq_pctchange(J55,"2025-9-29","")%</f>
        <v>-0.28474663281230506</v>
      </c>
      <c r="Q55" s="52"/>
    </row>
    <row r="56" spans="8:17">
      <c r="I56" s="31">
        <v>46104</v>
      </c>
      <c r="J56" s="29" t="s">
        <v>304</v>
      </c>
      <c r="K56" s="29" t="s">
        <v>305</v>
      </c>
      <c r="L56" s="42">
        <v>0.41770000000000002</v>
      </c>
      <c r="M56" s="1" t="str">
        <f ca="1">[1]!thsiFinD("ths_the_sw_industry_stock",J56,100,$A$1)</f>
        <v>电力设备</v>
      </c>
      <c r="N56" s="7">
        <f ca="1">[1]!thsiFinD("ths_chg_ratio_w_stock",J56,$A$1,100)/100</f>
        <v>0.15839472663823001</v>
      </c>
      <c r="O56" s="40">
        <f ca="1">[1]!thsiFinD("ths_market_value_stock",J56,$A$1)/100000000</f>
        <v>475.67960277499998</v>
      </c>
      <c r="P56" s="52">
        <f>[2]!i_pq_pctchange(J56,"2025-9-29","")%</f>
        <v>0.4238055522459192</v>
      </c>
      <c r="Q56" s="52"/>
    </row>
    <row r="57" spans="8:17">
      <c r="I57" s="31">
        <v>46104</v>
      </c>
      <c r="J57" s="29" t="s">
        <v>306</v>
      </c>
      <c r="K57" s="29" t="s">
        <v>544</v>
      </c>
      <c r="L57" s="42">
        <v>0.61939999999999995</v>
      </c>
      <c r="M57" s="1" t="str">
        <f ca="1">[1]!thsiFinD("ths_the_sw_industry_stock",J57,100,$A$1)</f>
        <v>电子</v>
      </c>
      <c r="N57" s="7">
        <f ca="1">[1]!thsiFinD("ths_chg_ratio_w_stock",J57,$A$1,100)/100</f>
        <v>0.13456464379947</v>
      </c>
      <c r="O57" s="40">
        <f ca="1">[1]!thsiFinD("ths_market_value_stock",J57,$A$1)/100000000</f>
        <v>483.05370779399999</v>
      </c>
      <c r="P57" s="52">
        <f>[2]!i_pq_pctchange(J57,"2025-9-29","")%</f>
        <v>0.10108523350810872</v>
      </c>
      <c r="Q57" s="52"/>
    </row>
    <row r="58" spans="8:17">
      <c r="H58" s="1">
        <v>5</v>
      </c>
      <c r="I58" s="31">
        <v>46104</v>
      </c>
      <c r="J58" s="29" t="s">
        <v>308</v>
      </c>
      <c r="K58" s="29" t="s">
        <v>545</v>
      </c>
      <c r="L58" s="42">
        <v>0.96650000000000003</v>
      </c>
      <c r="M58" s="1" t="str">
        <f ca="1">[1]!thsiFinD("ths_the_sw_industry_stock",J58,100,$A$1)</f>
        <v>计算机</v>
      </c>
      <c r="N58" s="7">
        <f ca="1">[1]!thsiFinD("ths_chg_ratio_w_stock",J58,$A$1,100)/100</f>
        <v>-1.8107872567056999E-2</v>
      </c>
      <c r="O58" s="40">
        <f ca="1">[1]!thsiFinD("ths_market_value_stock",J58,$A$1)/100000000</f>
        <v>618.32900181000002</v>
      </c>
      <c r="P58" s="52">
        <f>[2]!i_pq_pctchange(J58,"2025-9-29","")%</f>
        <v>-0.33219304672091998</v>
      </c>
      <c r="Q58" s="52"/>
    </row>
    <row r="59" spans="8:17">
      <c r="H59" s="1">
        <v>4</v>
      </c>
      <c r="I59" s="31">
        <v>46104</v>
      </c>
      <c r="J59" s="29" t="s">
        <v>310</v>
      </c>
      <c r="K59" s="29" t="s">
        <v>176</v>
      </c>
      <c r="L59" s="42">
        <v>1.3466</v>
      </c>
      <c r="M59" s="1" t="str">
        <f ca="1">[1]!thsiFinD("ths_the_sw_industry_stock",J59,100,$A$1)</f>
        <v>电子</v>
      </c>
      <c r="N59" s="7">
        <f ca="1">[1]!thsiFinD("ths_chg_ratio_w_stock",J59,$A$1,100)/100</f>
        <v>-0.11446342744053001</v>
      </c>
      <c r="O59" s="40">
        <f ca="1">[1]!thsiFinD("ths_market_value_stock",J59,$A$1)/100000000</f>
        <v>758.86978603249997</v>
      </c>
      <c r="P59" s="52">
        <f>[2]!i_pq_pctchange(J59,"2025-9-29","")%</f>
        <v>0.35842627013630723</v>
      </c>
      <c r="Q59" s="52"/>
    </row>
    <row r="60" spans="8:17">
      <c r="H60" s="1">
        <v>3</v>
      </c>
      <c r="I60" s="31">
        <v>46104</v>
      </c>
      <c r="J60" s="29" t="s">
        <v>312</v>
      </c>
      <c r="K60" s="29" t="s">
        <v>313</v>
      </c>
      <c r="L60" s="42">
        <v>0.68169999999999997</v>
      </c>
      <c r="M60" s="1" t="str">
        <f ca="1">[1]!thsiFinD("ths_the_sw_industry_stock",J60,100,$A$1)</f>
        <v>计算机</v>
      </c>
      <c r="N60" s="7">
        <f ca="1">[1]!thsiFinD("ths_chg_ratio_w_stock",J60,$A$1,100)/100</f>
        <v>-0.13318729463307999</v>
      </c>
      <c r="O60" s="40">
        <f ca="1">[1]!thsiFinD("ths_market_value_stock",J60,$A$1)/100000000</f>
        <v>409.62439809599999</v>
      </c>
      <c r="P60" s="52">
        <f>[2]!i_pq_pctchange(J60,"2025-9-29","")%</f>
        <v>-0.27207505518763797</v>
      </c>
      <c r="Q60" s="52"/>
    </row>
    <row r="61" spans="8:17">
      <c r="H61" s="1">
        <v>2</v>
      </c>
      <c r="I61" s="31">
        <v>46104</v>
      </c>
      <c r="J61" s="29" t="s">
        <v>314</v>
      </c>
      <c r="K61" s="29" t="s">
        <v>546</v>
      </c>
      <c r="L61" s="42">
        <v>1.0528</v>
      </c>
      <c r="M61" s="1" t="str">
        <f ca="1">[1]!thsiFinD("ths_the_sw_industry_stock",J61,100,$A$1)</f>
        <v>电子</v>
      </c>
      <c r="N61" s="7">
        <f ca="1">[1]!thsiFinD("ths_chg_ratio_w_stock",J61,$A$1,100)/100</f>
        <v>1.2048931538768E-2</v>
      </c>
      <c r="O61" s="40">
        <f ca="1">[1]!thsiFinD("ths_market_value_stock",J61,$A$1)/100000000</f>
        <v>1383.5985263670002</v>
      </c>
      <c r="P61" s="52">
        <f>[2]!i_pq_pctchange(J61,"2025-9-29","")%</f>
        <v>1.3411347517730499</v>
      </c>
      <c r="Q61" s="52"/>
    </row>
    <row r="62" spans="8:17">
      <c r="H62" s="1">
        <v>1</v>
      </c>
      <c r="I62" s="31">
        <v>46104</v>
      </c>
      <c r="J62" s="29" t="s">
        <v>316</v>
      </c>
      <c r="K62" s="69" t="s">
        <v>317</v>
      </c>
      <c r="L62" s="42">
        <v>0.496</v>
      </c>
      <c r="M62" s="1" t="str">
        <f ca="1">[1]!thsiFinD("ths_the_sw_industry_stock",J62,100,$A$1)</f>
        <v>国防军工</v>
      </c>
      <c r="N62" s="7">
        <f ca="1">[1]!thsiFinD("ths_chg_ratio_w_stock",J62,$A$1,100)/100</f>
        <v>-6.8605927552140997E-2</v>
      </c>
      <c r="O62" s="40">
        <f ca="1">[1]!thsiFinD("ths_market_value_stock",J62,$A$1)/100000000</f>
        <v>1813.8156260288001</v>
      </c>
      <c r="P62" s="52">
        <f>[2]!i_pq_pctchange(J62,"2025-9-29","")%</f>
        <v>-0.22924946065629614</v>
      </c>
      <c r="Q62" s="52"/>
    </row>
  </sheetData>
  <autoFilter ref="I12:P12">
    <sortState ref="I13:P62">
      <sortCondition descending="1" ref="L12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P35"/>
  <sheetViews>
    <sheetView workbookViewId="0">
      <selection activeCell="O21" sqref="O21"/>
    </sheetView>
  </sheetViews>
  <sheetFormatPr defaultColWidth="9" defaultRowHeight="13.5"/>
  <cols>
    <col min="1" max="3" width="9" style="1"/>
    <col min="4" max="4" width="14.375" style="1" bestFit="1" customWidth="1"/>
    <col min="5" max="5" width="14.875" style="1" bestFit="1" customWidth="1"/>
    <col min="6" max="7" width="14.875" style="1" customWidth="1"/>
    <col min="8" max="8" width="9" style="1"/>
    <col min="9" max="9" width="16.125" style="1" bestFit="1" customWidth="1"/>
    <col min="10" max="10" width="9" style="1"/>
    <col min="11" max="11" width="13" style="1" customWidth="1"/>
    <col min="12" max="12" width="11.375" style="1" customWidth="1"/>
    <col min="13" max="13" width="20.5" style="1" bestFit="1" customWidth="1"/>
    <col min="14" max="14" width="9.75" style="1" bestFit="1" customWidth="1"/>
    <col min="15" max="15" width="17.625" style="1" bestFit="1" customWidth="1"/>
    <col min="16" max="16384" width="9" style="1"/>
  </cols>
  <sheetData>
    <row r="1" spans="2:16" ht="14.25" thickBot="1"/>
    <row r="2" spans="2:16" ht="14.25" thickBot="1">
      <c r="D2" s="3"/>
      <c r="E2" s="3">
        <f ca="1">基本信息!B8</f>
        <v>46101</v>
      </c>
      <c r="F2" s="3"/>
      <c r="G2" s="3"/>
      <c r="J2" s="9" t="s">
        <v>56</v>
      </c>
      <c r="K2" s="9" t="s">
        <v>58</v>
      </c>
      <c r="L2" s="9" t="s">
        <v>60</v>
      </c>
    </row>
    <row r="3" spans="2:16" ht="14.25" thickBot="1">
      <c r="B3" s="1" t="s">
        <v>18</v>
      </c>
      <c r="D3" s="1" t="s">
        <v>19</v>
      </c>
      <c r="E3" s="1" t="s">
        <v>20</v>
      </c>
      <c r="I3" s="1" t="str">
        <f t="shared" ref="I3:I12" si="0">J3&amp;"(申万)"</f>
        <v>电力设备(申万)</v>
      </c>
      <c r="J3" s="33" t="s">
        <v>52</v>
      </c>
      <c r="K3" s="34">
        <v>30.986999999999998</v>
      </c>
      <c r="L3" s="10">
        <f ca="1">VLOOKUP(I3,$D:$F,2,FALSE)</f>
        <v>-3.0550104995008001E-2</v>
      </c>
      <c r="N3" s="12"/>
      <c r="O3" s="12"/>
      <c r="P3" s="11"/>
    </row>
    <row r="4" spans="2:16" ht="14.25" thickBot="1">
      <c r="B4" s="1">
        <v>801770</v>
      </c>
      <c r="C4" s="1" t="str">
        <f>LEFT(D4,LEN(D4)-4)</f>
        <v>通信</v>
      </c>
      <c r="D4" s="1" t="s">
        <v>38</v>
      </c>
      <c r="E4" s="23">
        <f ca="1">[1]!thsiFinD("ths_chg_ratio_w_index",B4,$E$2)/100</f>
        <v>2.1035164101994002E-2</v>
      </c>
      <c r="F4" s="23"/>
      <c r="G4" s="23"/>
      <c r="H4" s="6"/>
      <c r="I4" s="1" t="str">
        <f t="shared" si="0"/>
        <v>通信(申万)</v>
      </c>
      <c r="J4" s="33" t="s">
        <v>62</v>
      </c>
      <c r="K4" s="34">
        <v>23.436299999999999</v>
      </c>
      <c r="L4" s="10">
        <f t="shared" ref="L4:L12" ca="1" si="1">VLOOKUP(I4,$D:$F,2,FALSE)</f>
        <v>2.1035164101994002E-2</v>
      </c>
      <c r="N4" s="26"/>
      <c r="O4" s="26"/>
      <c r="P4" s="26"/>
    </row>
    <row r="5" spans="2:16" ht="14.25" thickBot="1">
      <c r="B5" s="1">
        <v>801780</v>
      </c>
      <c r="C5" s="1" t="str">
        <f>LEFT(D5,LEN(D5)-4)</f>
        <v>银行</v>
      </c>
      <c r="D5" s="1" t="s">
        <v>29</v>
      </c>
      <c r="E5" s="23">
        <f ca="1">[1]!thsiFinD("ths_chg_ratio_w_index",B5,$E$2)/100</f>
        <v>3.5782108945528E-3</v>
      </c>
      <c r="F5" s="23"/>
      <c r="G5" s="23"/>
      <c r="H5" s="6"/>
      <c r="I5" s="1" t="str">
        <f t="shared" si="0"/>
        <v>电子(申万)</v>
      </c>
      <c r="J5" s="33" t="s">
        <v>53</v>
      </c>
      <c r="K5" s="34">
        <v>17.017100000000003</v>
      </c>
      <c r="L5" s="10">
        <f t="shared" ca="1" si="1"/>
        <v>-2.8449779108559E-2</v>
      </c>
      <c r="N5" s="20"/>
      <c r="O5" s="60"/>
      <c r="P5" s="27"/>
    </row>
    <row r="6" spans="2:16" ht="14.25" thickBot="1">
      <c r="B6" s="1">
        <v>801120</v>
      </c>
      <c r="C6" s="1" t="str">
        <f>LEFT(D6,LEN(D6)-4)</f>
        <v>食品饮料</v>
      </c>
      <c r="D6" s="1" t="s">
        <v>21</v>
      </c>
      <c r="E6" s="23">
        <f ca="1">[1]!thsiFinD("ths_chg_ratio_w_index",B6,$E$2)/100</f>
        <v>-4.8435518289614002E-3</v>
      </c>
      <c r="F6" s="23"/>
      <c r="G6" s="23"/>
      <c r="H6" s="6"/>
      <c r="I6" s="1" t="str">
        <f t="shared" si="0"/>
        <v>非银金融(申万)</v>
      </c>
      <c r="J6" s="33" t="s">
        <v>67</v>
      </c>
      <c r="K6" s="34">
        <v>6.516</v>
      </c>
      <c r="L6" s="10">
        <f t="shared" ca="1" si="1"/>
        <v>-2.5500177452419E-2</v>
      </c>
      <c r="N6" s="19"/>
      <c r="O6" s="27"/>
      <c r="P6" s="27"/>
    </row>
    <row r="7" spans="2:16" ht="14.25" thickBot="1">
      <c r="B7" s="1">
        <v>801160</v>
      </c>
      <c r="C7" s="1" t="str">
        <f>LEFT(D7,LEN(D7)-4)</f>
        <v>公用事业</v>
      </c>
      <c r="D7" s="1" t="s">
        <v>43</v>
      </c>
      <c r="E7" s="23">
        <f ca="1">[1]!thsiFinD("ths_chg_ratio_w_index",B7,$E$2)/100</f>
        <v>-2.3531187448117E-2</v>
      </c>
      <c r="F7" s="23"/>
      <c r="G7" s="23"/>
      <c r="H7" s="6"/>
      <c r="I7" s="1" t="str">
        <f t="shared" si="0"/>
        <v>医药生物(申万)</v>
      </c>
      <c r="J7" s="33" t="s">
        <v>64</v>
      </c>
      <c r="K7" s="34">
        <v>6.0359999999999996</v>
      </c>
      <c r="L7" s="10">
        <f t="shared" ca="1" si="1"/>
        <v>-2.7749189730100002E-2</v>
      </c>
      <c r="N7" s="19"/>
      <c r="O7" s="27"/>
      <c r="P7" s="27"/>
    </row>
    <row r="8" spans="2:16" ht="14.25" thickBot="1">
      <c r="B8" s="1">
        <v>801950</v>
      </c>
      <c r="C8" s="1" t="str">
        <f>LEFT(D8,LEN(D8)-4)</f>
        <v>煤炭</v>
      </c>
      <c r="D8" s="1" t="s">
        <v>51</v>
      </c>
      <c r="E8" s="23">
        <f ca="1">[1]!thsiFinD("ths_chg_ratio_w_index",B8,$E$2)/100</f>
        <v>-2.4637292321184997E-2</v>
      </c>
      <c r="F8" s="23"/>
      <c r="G8" s="23"/>
      <c r="H8" s="6"/>
      <c r="I8" s="1" t="str">
        <f t="shared" si="0"/>
        <v>计算机(申万)</v>
      </c>
      <c r="J8" s="33" t="s">
        <v>54</v>
      </c>
      <c r="K8" s="34">
        <v>5.5861000000000001</v>
      </c>
      <c r="L8" s="10">
        <f t="shared" ca="1" si="1"/>
        <v>-4.7385851648093003E-2</v>
      </c>
      <c r="N8" s="19"/>
      <c r="O8" s="27"/>
      <c r="P8" s="27"/>
    </row>
    <row r="9" spans="2:16" ht="14.25" thickBot="1">
      <c r="B9" s="1">
        <v>801790</v>
      </c>
      <c r="C9" s="1" t="str">
        <f>LEFT(D9,LEN(D9)-4)</f>
        <v>非银金融</v>
      </c>
      <c r="D9" s="1" t="s">
        <v>33</v>
      </c>
      <c r="E9" s="23">
        <f ca="1">[1]!thsiFinD("ths_chg_ratio_w_index",B9,$E$2)/100</f>
        <v>-2.5500177452419E-2</v>
      </c>
      <c r="F9" s="23"/>
      <c r="G9" s="23"/>
      <c r="H9" s="6"/>
      <c r="I9" s="1" t="str">
        <f t="shared" si="0"/>
        <v>传媒(申万)</v>
      </c>
      <c r="J9" s="33" t="s">
        <v>55</v>
      </c>
      <c r="K9" s="34">
        <v>3.7759999999999998</v>
      </c>
      <c r="L9" s="10">
        <f t="shared" ca="1" si="1"/>
        <v>-3.7828231539243001E-2</v>
      </c>
      <c r="N9" s="19"/>
      <c r="O9" s="27"/>
      <c r="P9" s="27"/>
    </row>
    <row r="10" spans="2:16" ht="14.25" thickBot="1">
      <c r="B10" s="1">
        <v>801170</v>
      </c>
      <c r="C10" s="1" t="str">
        <f>LEFT(D10,LEN(D10)-4)</f>
        <v>交通运输</v>
      </c>
      <c r="D10" s="1" t="s">
        <v>32</v>
      </c>
      <c r="E10" s="23">
        <f ca="1">[1]!thsiFinD("ths_chg_ratio_w_index",B10,$E$2)/100</f>
        <v>-2.6480679647730997E-2</v>
      </c>
      <c r="F10" s="23"/>
      <c r="G10" s="23"/>
      <c r="H10" s="6"/>
      <c r="I10" s="1" t="str">
        <f t="shared" si="0"/>
        <v>机械设备(申万)</v>
      </c>
      <c r="J10" s="33" t="s">
        <v>68</v>
      </c>
      <c r="K10" s="34">
        <v>3.6958000000000002</v>
      </c>
      <c r="L10" s="10">
        <f t="shared" ca="1" si="1"/>
        <v>-6.2617445335512001E-2</v>
      </c>
      <c r="N10" s="19"/>
      <c r="O10" s="27"/>
      <c r="P10" s="27"/>
    </row>
    <row r="11" spans="2:16" ht="14.25" thickBot="1">
      <c r="B11" s="8">
        <v>801150</v>
      </c>
      <c r="C11" s="8" t="str">
        <f>LEFT(D11,LEN(D11)-4)</f>
        <v>医药生物</v>
      </c>
      <c r="D11" s="8" t="s">
        <v>35</v>
      </c>
      <c r="E11" s="23">
        <f ca="1">[1]!thsiFinD("ths_chg_ratio_w_index",B11,$E$2)/100</f>
        <v>-2.7749189730100002E-2</v>
      </c>
      <c r="F11" s="23"/>
      <c r="G11" s="23"/>
      <c r="H11" s="6"/>
      <c r="I11" s="1" t="str">
        <f t="shared" si="0"/>
        <v>国防军工(申万)</v>
      </c>
      <c r="J11" s="33" t="s">
        <v>63</v>
      </c>
      <c r="K11" s="34">
        <v>2.3235000000000001</v>
      </c>
      <c r="L11" s="10">
        <f t="shared" ca="1" si="1"/>
        <v>-6.2621969944624004E-2</v>
      </c>
      <c r="N11" s="19"/>
      <c r="O11" s="27"/>
      <c r="P11" s="27"/>
    </row>
    <row r="12" spans="2:16" ht="14.25" thickBot="1">
      <c r="B12" s="8">
        <v>801080</v>
      </c>
      <c r="C12" s="8" t="str">
        <f>LEFT(D12,LEN(D12)-4)</f>
        <v>电子</v>
      </c>
      <c r="D12" s="8" t="s">
        <v>40</v>
      </c>
      <c r="E12" s="23">
        <f ca="1">[1]!thsiFinD("ths_chg_ratio_w_index",B12,$E$2)/100</f>
        <v>-2.8449779108559E-2</v>
      </c>
      <c r="F12" s="23"/>
      <c r="G12" s="23"/>
      <c r="H12" s="6"/>
      <c r="I12" s="1" t="str">
        <f t="shared" si="0"/>
        <v>有色金属(申万)</v>
      </c>
      <c r="J12" s="33" t="s">
        <v>113</v>
      </c>
      <c r="K12" s="34">
        <v>0.62609999999999999</v>
      </c>
      <c r="L12" s="10">
        <f t="shared" ca="1" si="1"/>
        <v>-0.11820401997573</v>
      </c>
      <c r="N12" s="19"/>
      <c r="O12" s="27"/>
      <c r="P12" s="27"/>
    </row>
    <row r="13" spans="2:16" ht="15" thickBot="1">
      <c r="B13" s="8">
        <v>801730</v>
      </c>
      <c r="C13" s="8" t="str">
        <f>LEFT(D13,LEN(D13)-4)</f>
        <v>电力设备</v>
      </c>
      <c r="D13" s="8" t="s">
        <v>37</v>
      </c>
      <c r="E13" s="23">
        <f ca="1">[1]!thsiFinD("ths_chg_ratio_w_index",B13,$E$2)/100</f>
        <v>-3.0550104995008001E-2</v>
      </c>
      <c r="F13" s="23"/>
      <c r="G13" s="23"/>
      <c r="H13" s="6"/>
      <c r="J13" s="21"/>
      <c r="K13" s="11"/>
      <c r="L13" s="10"/>
      <c r="N13" s="19"/>
      <c r="O13" s="27"/>
      <c r="P13" s="27"/>
    </row>
    <row r="14" spans="2:16">
      <c r="B14" s="1">
        <v>801110</v>
      </c>
      <c r="C14" s="1" t="str">
        <f>LEFT(D14,LEN(D14)-4)</f>
        <v>家用电器</v>
      </c>
      <c r="D14" s="1" t="s">
        <v>30</v>
      </c>
      <c r="E14" s="23">
        <f ca="1">[1]!thsiFinD("ths_chg_ratio_w_index",B14,$E$2)/100</f>
        <v>-3.3034329444280003E-2</v>
      </c>
      <c r="F14" s="23"/>
      <c r="G14" s="23"/>
      <c r="H14" s="6"/>
      <c r="K14" s="11"/>
      <c r="L14" s="10"/>
      <c r="N14" s="19"/>
      <c r="O14" s="27"/>
      <c r="P14" s="27"/>
    </row>
    <row r="15" spans="2:16">
      <c r="B15" s="1">
        <v>801140</v>
      </c>
      <c r="C15" s="1" t="str">
        <f>LEFT(D15,LEN(D15)-4)</f>
        <v>轻工制造</v>
      </c>
      <c r="D15" s="1" t="s">
        <v>31</v>
      </c>
      <c r="E15" s="23">
        <f ca="1">[1]!thsiFinD("ths_chg_ratio_w_index",B15,$E$2)/100</f>
        <v>-3.4676389289824E-2</v>
      </c>
      <c r="F15" s="23"/>
      <c r="G15" s="23"/>
      <c r="H15" s="6"/>
    </row>
    <row r="16" spans="2:16">
      <c r="B16" s="1">
        <v>801760</v>
      </c>
      <c r="C16" s="1" t="str">
        <f>LEFT(D16,LEN(D16)-4)</f>
        <v>传媒</v>
      </c>
      <c r="D16" s="1" t="s">
        <v>25</v>
      </c>
      <c r="E16" s="23">
        <f ca="1">[1]!thsiFinD("ths_chg_ratio_w_index",B16,$E$2)/100</f>
        <v>-3.7828231539243001E-2</v>
      </c>
      <c r="F16" s="23"/>
      <c r="G16" s="23"/>
      <c r="H16" s="6"/>
    </row>
    <row r="17" spans="2:16">
      <c r="B17" s="1">
        <v>801210</v>
      </c>
      <c r="C17" s="1" t="str">
        <f>LEFT(D17,LEN(D17)-4)</f>
        <v>社会服务</v>
      </c>
      <c r="D17" s="1" t="s">
        <v>23</v>
      </c>
      <c r="E17" s="23">
        <f ca="1">[1]!thsiFinD("ths_chg_ratio_w_index",B17,$E$2)/100</f>
        <v>-3.9997543079861003E-2</v>
      </c>
      <c r="F17" s="23"/>
      <c r="G17" s="23"/>
      <c r="H17" s="6"/>
      <c r="K17" s="1">
        <v>100</v>
      </c>
    </row>
    <row r="18" spans="2:16">
      <c r="B18" s="1">
        <v>801180</v>
      </c>
      <c r="C18" s="1" t="str">
        <f>LEFT(D18,LEN(D18)-4)</f>
        <v>房地产</v>
      </c>
      <c r="D18" s="1" t="s">
        <v>50</v>
      </c>
      <c r="E18" s="23">
        <f ca="1">[1]!thsiFinD("ths_chg_ratio_w_index",B18,$E$2)/100</f>
        <v>-4.2110708269244998E-2</v>
      </c>
      <c r="F18" s="23"/>
      <c r="G18" s="23"/>
      <c r="H18" s="6"/>
      <c r="N18" s="32" t="s">
        <v>73</v>
      </c>
      <c r="O18" t="s">
        <v>75</v>
      </c>
      <c r="P18"/>
    </row>
    <row r="19" spans="2:16">
      <c r="B19" s="1">
        <v>801880</v>
      </c>
      <c r="C19" s="1" t="str">
        <f>LEFT(D19,LEN(D19)-4)</f>
        <v>汽车</v>
      </c>
      <c r="D19" s="1" t="s">
        <v>48</v>
      </c>
      <c r="E19" s="23">
        <f ca="1">[1]!thsiFinD("ths_chg_ratio_w_index",B19,$E$2)/100</f>
        <v>-4.4012688848749003E-2</v>
      </c>
      <c r="F19" s="23"/>
      <c r="G19" s="23"/>
      <c r="H19" s="6"/>
      <c r="N19" s="33" t="s">
        <v>52</v>
      </c>
      <c r="O19" s="34">
        <v>30.986999999999998</v>
      </c>
      <c r="P19"/>
    </row>
    <row r="20" spans="2:16">
      <c r="B20" s="1">
        <v>801010</v>
      </c>
      <c r="C20" s="1" t="str">
        <f>LEFT(D20,LEN(D20)-4)</f>
        <v>农林牧渔</v>
      </c>
      <c r="D20" s="1" t="s">
        <v>28</v>
      </c>
      <c r="E20" s="23">
        <f ca="1">[1]!thsiFinD("ths_chg_ratio_w_index",B20,$E$2)/100</f>
        <v>-4.4992222479480003E-2</v>
      </c>
      <c r="F20" s="23"/>
      <c r="G20" s="23"/>
      <c r="H20" s="6"/>
      <c r="N20" s="33" t="s">
        <v>62</v>
      </c>
      <c r="O20" s="34">
        <v>23.436299999999999</v>
      </c>
      <c r="P20"/>
    </row>
    <row r="21" spans="2:16">
      <c r="B21" s="1">
        <v>801200</v>
      </c>
      <c r="C21" s="1" t="str">
        <f>LEFT(D21,LEN(D21)-4)</f>
        <v>商贸零售</v>
      </c>
      <c r="D21" s="1" t="s">
        <v>24</v>
      </c>
      <c r="E21" s="23">
        <f ca="1">[1]!thsiFinD("ths_chg_ratio_w_index",B21,$E$2)/100</f>
        <v>-4.5506780050562995E-2</v>
      </c>
      <c r="F21" s="23"/>
      <c r="G21" s="23"/>
      <c r="H21" s="6"/>
      <c r="N21" s="33" t="s">
        <v>53</v>
      </c>
      <c r="O21" s="34">
        <v>17.017100000000003</v>
      </c>
      <c r="P21"/>
    </row>
    <row r="22" spans="2:16">
      <c r="B22" s="1">
        <v>801960</v>
      </c>
      <c r="C22" s="1" t="str">
        <f>LEFT(D22,LEN(D22)-4)</f>
        <v>石油石化</v>
      </c>
      <c r="D22" s="1" t="s">
        <v>46</v>
      </c>
      <c r="E22" s="23">
        <f ca="1">[1]!thsiFinD("ths_chg_ratio_w_index",B22,$E$2)/100</f>
        <v>-4.5792518149091001E-2</v>
      </c>
      <c r="F22" s="23"/>
      <c r="G22" s="23"/>
      <c r="H22" s="6"/>
      <c r="N22" s="33" t="s">
        <v>67</v>
      </c>
      <c r="O22" s="34">
        <v>6.516</v>
      </c>
      <c r="P22"/>
    </row>
    <row r="23" spans="2:16">
      <c r="B23" s="1">
        <v>801750</v>
      </c>
      <c r="C23" s="1" t="str">
        <f>LEFT(D23,LEN(D23)-4)</f>
        <v>计算机</v>
      </c>
      <c r="D23" s="1" t="s">
        <v>34</v>
      </c>
      <c r="E23" s="23">
        <f ca="1">[1]!thsiFinD("ths_chg_ratio_w_index",B23,$E$2)/100</f>
        <v>-4.7385851648093003E-2</v>
      </c>
      <c r="F23" s="23"/>
      <c r="G23" s="23"/>
      <c r="H23" s="6"/>
      <c r="N23" s="33" t="s">
        <v>64</v>
      </c>
      <c r="O23" s="34">
        <v>6.0359999999999996</v>
      </c>
      <c r="P23"/>
    </row>
    <row r="24" spans="2:16">
      <c r="B24" s="1">
        <v>801980</v>
      </c>
      <c r="C24" s="1" t="str">
        <f>LEFT(D24,LEN(D24)-4)</f>
        <v>美容护理</v>
      </c>
      <c r="D24" s="1" t="s">
        <v>22</v>
      </c>
      <c r="E24" s="23">
        <f ca="1">[1]!thsiFinD("ths_chg_ratio_w_index",B24,$E$2)/100</f>
        <v>-4.7838703337610998E-2</v>
      </c>
      <c r="F24" s="23"/>
      <c r="G24" s="23"/>
      <c r="H24" s="6"/>
      <c r="N24" s="33" t="s">
        <v>54</v>
      </c>
      <c r="O24" s="34">
        <v>5.5861000000000001</v>
      </c>
      <c r="P24"/>
    </row>
    <row r="25" spans="2:16">
      <c r="B25" s="1">
        <v>801130</v>
      </c>
      <c r="C25" s="1" t="str">
        <f>LEFT(D25,LEN(D25)-4)</f>
        <v>纺织服饰</v>
      </c>
      <c r="D25" s="1" t="s">
        <v>27</v>
      </c>
      <c r="E25" s="23">
        <f ca="1">[1]!thsiFinD("ths_chg_ratio_w_index",B25,$E$2)/100</f>
        <v>-5.4277712008777998E-2</v>
      </c>
      <c r="F25" s="23"/>
      <c r="G25" s="23"/>
      <c r="H25" s="6"/>
      <c r="N25" s="33" t="s">
        <v>55</v>
      </c>
      <c r="O25" s="34">
        <v>3.7759999999999998</v>
      </c>
      <c r="P25"/>
    </row>
    <row r="26" spans="2:16">
      <c r="B26" s="1">
        <v>801970</v>
      </c>
      <c r="C26" s="1" t="str">
        <f>LEFT(D26,LEN(D26)-4)</f>
        <v>环保</v>
      </c>
      <c r="D26" s="1" t="s">
        <v>44</v>
      </c>
      <c r="E26" s="23">
        <f ca="1">[1]!thsiFinD("ths_chg_ratio_w_index",B26,$E$2)/100</f>
        <v>-5.5937034252034001E-2</v>
      </c>
      <c r="F26" s="23"/>
      <c r="G26" s="23"/>
      <c r="H26" s="6"/>
      <c r="N26" s="33" t="s">
        <v>68</v>
      </c>
      <c r="O26" s="34">
        <v>3.6958000000000002</v>
      </c>
      <c r="P26"/>
    </row>
    <row r="27" spans="2:16">
      <c r="B27" s="1">
        <v>801720</v>
      </c>
      <c r="C27" s="1" t="str">
        <f>LEFT(D27,LEN(D27)-4)</f>
        <v>建筑装饰</v>
      </c>
      <c r="D27" s="1" t="s">
        <v>49</v>
      </c>
      <c r="E27" s="23">
        <f ca="1">[1]!thsiFinD("ths_chg_ratio_w_index",B27,$E$2)/100</f>
        <v>-6.2461759793627003E-2</v>
      </c>
      <c r="F27" s="23"/>
      <c r="G27" s="23"/>
      <c r="H27" s="6"/>
      <c r="N27" s="33" t="s">
        <v>63</v>
      </c>
      <c r="O27" s="34">
        <v>2.3235000000000001</v>
      </c>
      <c r="P27"/>
    </row>
    <row r="28" spans="2:16">
      <c r="B28" s="1">
        <v>801890</v>
      </c>
      <c r="C28" s="1" t="str">
        <f>LEFT(D28,LEN(D28)-4)</f>
        <v>机械设备</v>
      </c>
      <c r="D28" s="1" t="s">
        <v>45</v>
      </c>
      <c r="E28" s="23">
        <f ca="1">[1]!thsiFinD("ths_chg_ratio_w_index",B28,$E$2)/100</f>
        <v>-6.2617445335512001E-2</v>
      </c>
      <c r="F28" s="23"/>
      <c r="G28" s="23"/>
      <c r="H28" s="6"/>
      <c r="N28" s="33" t="s">
        <v>113</v>
      </c>
      <c r="O28" s="34">
        <v>0.62609999999999999</v>
      </c>
      <c r="P28"/>
    </row>
    <row r="29" spans="2:16">
      <c r="B29" s="1">
        <v>801740</v>
      </c>
      <c r="C29" s="1" t="str">
        <f>LEFT(D29,LEN(D29)-4)</f>
        <v>国防军工</v>
      </c>
      <c r="D29" s="1" t="s">
        <v>42</v>
      </c>
      <c r="E29" s="23">
        <f ca="1">[1]!thsiFinD("ths_chg_ratio_w_index",B29,$E$2)/100</f>
        <v>-6.2621969944624004E-2</v>
      </c>
      <c r="F29" s="23"/>
      <c r="G29" s="23"/>
      <c r="H29" s="6"/>
      <c r="N29" s="33" t="s">
        <v>74</v>
      </c>
      <c r="O29" s="34">
        <v>99.999899999999997</v>
      </c>
      <c r="P29"/>
    </row>
    <row r="30" spans="2:16">
      <c r="B30" s="1">
        <v>801710</v>
      </c>
      <c r="C30" s="1" t="str">
        <f>LEFT(D30,LEN(D30)-4)</f>
        <v>建筑材料</v>
      </c>
      <c r="D30" s="1" t="s">
        <v>36</v>
      </c>
      <c r="E30" s="23">
        <f ca="1">[1]!thsiFinD("ths_chg_ratio_w_index",B30,$E$2)/100</f>
        <v>-7.9468726286739011E-2</v>
      </c>
      <c r="F30" s="23"/>
      <c r="G30" s="23"/>
      <c r="H30" s="6"/>
      <c r="N30"/>
      <c r="O30"/>
      <c r="P30"/>
    </row>
    <row r="31" spans="2:16">
      <c r="B31" s="1">
        <v>801230</v>
      </c>
      <c r="C31" s="1" t="str">
        <f>LEFT(D31,LEN(D31)-4)</f>
        <v>综合</v>
      </c>
      <c r="D31" s="1" t="s">
        <v>26</v>
      </c>
      <c r="E31" s="23">
        <f ca="1">[1]!thsiFinD("ths_chg_ratio_w_index",B31,$E$2)/100</f>
        <v>-7.9889807162534007E-2</v>
      </c>
      <c r="F31" s="23"/>
      <c r="G31" s="23"/>
      <c r="H31" s="6"/>
      <c r="N31"/>
      <c r="O31"/>
      <c r="P31"/>
    </row>
    <row r="32" spans="2:16">
      <c r="B32" s="1">
        <v>801040</v>
      </c>
      <c r="C32" s="1" t="str">
        <f>LEFT(D32,LEN(D32)-4)</f>
        <v>钢铁</v>
      </c>
      <c r="D32" s="1" t="s">
        <v>41</v>
      </c>
      <c r="E32" s="23">
        <f ca="1">[1]!thsiFinD("ths_chg_ratio_w_index",B32,$E$2)/100</f>
        <v>-0.1028914025018</v>
      </c>
      <c r="F32" s="23"/>
      <c r="G32" s="23"/>
      <c r="H32" s="6"/>
      <c r="N32"/>
      <c r="O32"/>
      <c r="P32"/>
    </row>
    <row r="33" spans="2:16">
      <c r="B33" s="1">
        <v>801030</v>
      </c>
      <c r="C33" s="1" t="str">
        <f>LEFT(D33,LEN(D33)-4)</f>
        <v>基础化工</v>
      </c>
      <c r="D33" s="1" t="s">
        <v>39</v>
      </c>
      <c r="E33" s="23">
        <f ca="1">[1]!thsiFinD("ths_chg_ratio_w_index",B33,$E$2)/100</f>
        <v>-0.10532556867786999</v>
      </c>
      <c r="F33" s="23"/>
      <c r="G33" s="23"/>
      <c r="H33" s="6"/>
      <c r="N33"/>
      <c r="O33"/>
      <c r="P33"/>
    </row>
    <row r="34" spans="2:16">
      <c r="B34" s="1">
        <v>801050</v>
      </c>
      <c r="C34" s="1" t="str">
        <f>LEFT(D34,LEN(D34)-4)</f>
        <v>有色金属</v>
      </c>
      <c r="D34" s="1" t="s">
        <v>47</v>
      </c>
      <c r="E34" s="23">
        <f ca="1">[1]!thsiFinD("ths_chg_ratio_w_index",B34,$E$2)/100</f>
        <v>-0.11820401997573</v>
      </c>
      <c r="F34" s="23"/>
      <c r="G34" s="23"/>
      <c r="H34" s="6"/>
      <c r="N34"/>
      <c r="O34"/>
      <c r="P34"/>
    </row>
    <row r="35" spans="2:16">
      <c r="N35"/>
      <c r="O35"/>
      <c r="P35"/>
    </row>
  </sheetData>
  <autoFilter ref="B3:G3">
    <sortState ref="B4:G34">
      <sortCondition descending="1" ref="E3"/>
    </sortState>
  </autoFilter>
  <phoneticPr fontId="2" type="noConversion"/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14"/>
  <sheetViews>
    <sheetView topLeftCell="L4" zoomScaleNormal="100" workbookViewId="0">
      <selection activeCell="R22" sqref="R22"/>
    </sheetView>
  </sheetViews>
  <sheetFormatPr defaultColWidth="9" defaultRowHeight="13.5"/>
  <cols>
    <col min="1" max="1" width="11.625" style="72" bestFit="1" customWidth="1"/>
    <col min="2" max="2" width="9.75" style="72" customWidth="1"/>
    <col min="3" max="3" width="17.625" style="72" bestFit="1" customWidth="1"/>
    <col min="4" max="4" width="12.5" style="72" customWidth="1"/>
    <col min="5" max="5" width="18.75" style="72" customWidth="1"/>
    <col min="6" max="6" width="16.125" style="72" customWidth="1"/>
    <col min="7" max="7" width="10.75" style="72" customWidth="1"/>
    <col min="8" max="8" width="9" style="72"/>
    <col min="9" max="9" width="11.625" style="72" bestFit="1" customWidth="1"/>
    <col min="10" max="11" width="9" style="72"/>
    <col min="12" max="12" width="9.5" style="72" bestFit="1" customWidth="1"/>
    <col min="13" max="16" width="9" style="72"/>
    <col min="17" max="17" width="11.75" style="72" bestFit="1" customWidth="1"/>
    <col min="18" max="18" width="10" style="72" customWidth="1"/>
    <col min="19" max="19" width="11.125" style="72" customWidth="1"/>
    <col min="20" max="20" width="11" style="72" customWidth="1"/>
    <col min="21" max="21" width="10.25" style="72" customWidth="1"/>
    <col min="22" max="22" width="9" style="72"/>
    <col min="23" max="23" width="11.625" style="72" bestFit="1" customWidth="1"/>
    <col min="24" max="25" width="9" style="72"/>
    <col min="26" max="26" width="9.5" style="72" bestFit="1" customWidth="1"/>
    <col min="27" max="28" width="9" style="72"/>
    <col min="29" max="29" width="11.625" style="72" bestFit="1" customWidth="1"/>
    <col min="30" max="31" width="9" style="72"/>
    <col min="32" max="32" width="9.5" style="72" bestFit="1" customWidth="1"/>
    <col min="33" max="34" width="9" style="72"/>
    <col min="35" max="35" width="11.625" style="72" bestFit="1" customWidth="1"/>
    <col min="36" max="40" width="9" style="72"/>
    <col min="41" max="41" width="11.625" style="72" bestFit="1" customWidth="1"/>
    <col min="42" max="43" width="9" style="72"/>
    <col min="44" max="44" width="9.5" style="72" bestFit="1" customWidth="1"/>
    <col min="45" max="16384" width="9" style="72"/>
  </cols>
  <sheetData>
    <row r="1" spans="1:45" ht="14.25" thickBot="1">
      <c r="A1" s="71">
        <f ca="1">基本信息!$B$3</f>
        <v>46101</v>
      </c>
      <c r="B1" s="71"/>
    </row>
    <row r="2" spans="1:45">
      <c r="A2" s="72" t="s">
        <v>88</v>
      </c>
      <c r="B2" s="73" t="s">
        <v>76</v>
      </c>
      <c r="C2" s="73" t="s">
        <v>89</v>
      </c>
      <c r="D2" s="73" t="s">
        <v>90</v>
      </c>
      <c r="E2" s="73" t="s">
        <v>79</v>
      </c>
      <c r="F2" s="73" t="s">
        <v>91</v>
      </c>
      <c r="G2" s="73" t="s">
        <v>7</v>
      </c>
    </row>
    <row r="3" spans="1:45">
      <c r="A3" s="72" t="s">
        <v>13</v>
      </c>
      <c r="B3" s="74" t="str">
        <f>INDEX(J:J, MATCH(LARGE(L:L, 1), L:L, 0))</f>
        <v>300750.SZ</v>
      </c>
      <c r="C3" s="74" t="str">
        <f>[1]!thsiFinD("ths_stock_short_name_stock",B3)</f>
        <v>宁德时代</v>
      </c>
      <c r="D3" s="75">
        <f>LARGE(L:L, 1)</f>
        <v>19.721699999999998</v>
      </c>
      <c r="E3" s="74" t="str">
        <f ca="1">[1]!thsiFinD("ths_the_sw_industry_stock",B3,100,$A$1)</f>
        <v>电力设备</v>
      </c>
      <c r="F3" s="76">
        <f ca="1">[1]!thsiFinD("ths_market_value_stock",B3,$A$1)/100000000</f>
        <v>19161.617692525</v>
      </c>
      <c r="G3" s="77">
        <f t="shared" ref="G3:G12" ca="1" si="0">VLOOKUP(C3,$K:$N,4,FALSE)</f>
        <v>4.0302267002519002E-2</v>
      </c>
    </row>
    <row r="4" spans="1:45">
      <c r="B4" s="78" t="str">
        <f>INDEX(J:J, MATCH(LARGE(L:L, 2), L:L, 0))</f>
        <v>300308.SZ</v>
      </c>
      <c r="C4" s="79" t="str">
        <f>[1]!thsiFinD("ths_stock_short_name_stock",B4)</f>
        <v>中际旭创</v>
      </c>
      <c r="D4" s="80">
        <f>LARGE(L:L, 2)</f>
        <v>10.263</v>
      </c>
      <c r="E4" s="81" t="str">
        <f ca="1">[1]!thsiFinD("ths_the_sw_industry_stock",B4,100,$A$1)</f>
        <v>通信</v>
      </c>
      <c r="F4" s="82">
        <f ca="1">[1]!thsiFinD("ths_market_value_stock",B4,$A$1)/100000000</f>
        <v>6800.0442040799999</v>
      </c>
      <c r="G4" s="83">
        <f t="shared" ca="1" si="0"/>
        <v>0.12910962695104</v>
      </c>
    </row>
    <row r="5" spans="1:45">
      <c r="B5" s="74" t="str">
        <f>INDEX(J:J, MATCH(LARGE(L:L, 3), L:L, 0))</f>
        <v>300502.SZ</v>
      </c>
      <c r="C5" s="74" t="str">
        <f>[1]!thsiFinD("ths_stock_short_name_stock",B5)</f>
        <v>新易盛</v>
      </c>
      <c r="D5" s="75">
        <f>LARGE(L:L, 3)</f>
        <v>7.1985000000000001</v>
      </c>
      <c r="E5" s="74" t="str">
        <f ca="1">[1]!thsiFinD("ths_the_sw_industry_stock",B5,100,$A$1)</f>
        <v>通信</v>
      </c>
      <c r="F5" s="76">
        <f ca="1">[1]!thsiFinD("ths_market_value_stock",B5,$A$1)/100000000</f>
        <v>4741.921422896</v>
      </c>
      <c r="G5" s="77">
        <f t="shared" ca="1" si="0"/>
        <v>0.21069461716113</v>
      </c>
    </row>
    <row r="6" spans="1:45">
      <c r="B6" s="78" t="str">
        <f>INDEX(J:J, MATCH(LARGE(L:L, 4), L:L, 0))</f>
        <v>300059.SZ</v>
      </c>
      <c r="C6" s="79" t="str">
        <f>[1]!thsiFinD("ths_stock_short_name_stock",B6)</f>
        <v>东方财富</v>
      </c>
      <c r="D6" s="80">
        <f>LARGE(L:L, 4)</f>
        <v>6.516</v>
      </c>
      <c r="E6" s="81" t="str">
        <f ca="1">[1]!thsiFinD("ths_the_sw_industry_stock",B6,100,$A$1)</f>
        <v>非银金融</v>
      </c>
      <c r="F6" s="82">
        <f ca="1">[1]!thsiFinD("ths_market_value_stock",B6,$A$1)/100000000</f>
        <v>3193.9960141175002</v>
      </c>
      <c r="G6" s="83">
        <f t="shared" ca="1" si="0"/>
        <v>-4.2180094786730002E-2</v>
      </c>
    </row>
    <row r="7" spans="1:45">
      <c r="B7" s="74" t="str">
        <f>INDEX(J:J, MATCH(LARGE(L:L, 5), L:L, 0))</f>
        <v>300274.SZ</v>
      </c>
      <c r="C7" s="74" t="str">
        <f>[1]!thsiFinD("ths_stock_short_name_stock",B7)</f>
        <v>阳光电源</v>
      </c>
      <c r="D7" s="75">
        <f>LARGE(L:L, 5)</f>
        <v>4.8080999999999996</v>
      </c>
      <c r="E7" s="74" t="str">
        <f ca="1">[1]!thsiFinD("ths_the_sw_industry_stock",B7,100,$A$1)</f>
        <v>电力设备</v>
      </c>
      <c r="F7" s="76">
        <f ca="1">[1]!thsiFinD("ths_market_value_stock",B7,$A$1)/100000000</f>
        <v>3599.0950320640004</v>
      </c>
      <c r="G7" s="77">
        <f t="shared" ca="1" si="0"/>
        <v>-1.0205827014082999E-2</v>
      </c>
    </row>
    <row r="8" spans="1:45">
      <c r="B8" s="78" t="str">
        <f>INDEX(J:J, MATCH(LARGE(L:L, 6), L:L, 0))</f>
        <v>300476.SZ</v>
      </c>
      <c r="C8" s="79" t="str">
        <f>[1]!thsiFinD("ths_stock_short_name_stock",B8)</f>
        <v>胜宏科技</v>
      </c>
      <c r="D8" s="80">
        <f>LARGE(L:L, 6)</f>
        <v>4.1612999999999998</v>
      </c>
      <c r="E8" s="81" t="str">
        <f ca="1">[1]!thsiFinD("ths_the_sw_industry_stock",B8,100,$A$1)</f>
        <v>电子</v>
      </c>
      <c r="F8" s="82">
        <f ca="1">[1]!thsiFinD("ths_market_value_stock",B8,$A$1)/100000000</f>
        <v>2431.9917427935998</v>
      </c>
      <c r="G8" s="83">
        <f t="shared" ca="1" si="0"/>
        <v>1.7611328756784001E-3</v>
      </c>
      <c r="I8" s="84" t="s">
        <v>160</v>
      </c>
      <c r="J8" s="84" t="s">
        <v>214</v>
      </c>
      <c r="K8" s="84" t="s">
        <v>161</v>
      </c>
      <c r="W8" s="84" t="s">
        <v>318</v>
      </c>
      <c r="X8" s="84" t="s">
        <v>319</v>
      </c>
      <c r="Y8" s="84" t="s">
        <v>146</v>
      </c>
      <c r="AC8" s="84" t="s">
        <v>144</v>
      </c>
      <c r="AD8" s="84" t="s">
        <v>547</v>
      </c>
      <c r="AE8" s="84" t="s">
        <v>146</v>
      </c>
      <c r="AI8" s="84" t="s">
        <v>144</v>
      </c>
      <c r="AJ8" s="84" t="s">
        <v>145</v>
      </c>
      <c r="AK8" s="84" t="s">
        <v>146</v>
      </c>
      <c r="AO8" s="84" t="s">
        <v>144</v>
      </c>
      <c r="AP8" s="84" t="s">
        <v>1142</v>
      </c>
      <c r="AQ8" s="84" t="s">
        <v>146</v>
      </c>
    </row>
    <row r="9" spans="1:45">
      <c r="B9" s="74" t="str">
        <f>INDEX(J:J, MATCH(LARGE(L:L, 7), L:L, 0))</f>
        <v>300394.SZ</v>
      </c>
      <c r="C9" s="74" t="str">
        <f>[1]!thsiFinD("ths_stock_short_name_stock",B9)</f>
        <v>天孚通信</v>
      </c>
      <c r="D9" s="75">
        <f>LARGE(L:L, 7)</f>
        <v>3.6545000000000001</v>
      </c>
      <c r="E9" s="74" t="str">
        <f ca="1">[1]!thsiFinD("ths_the_sw_industry_stock",B9,100,$A$1)</f>
        <v>通信</v>
      </c>
      <c r="F9" s="76">
        <f ca="1">[1]!thsiFinD("ths_market_value_stock",B9,$A$1)/100000000</f>
        <v>2425.5375799200001</v>
      </c>
      <c r="G9" s="77">
        <f t="shared" ca="1" si="0"/>
        <v>-0.04</v>
      </c>
      <c r="I9" s="84" t="s">
        <v>215</v>
      </c>
      <c r="J9" s="84" t="s">
        <v>162</v>
      </c>
      <c r="K9" s="84" t="s">
        <v>66</v>
      </c>
      <c r="W9" s="84" t="s">
        <v>147</v>
      </c>
      <c r="X9" s="84" t="s">
        <v>148</v>
      </c>
      <c r="Y9" s="84" t="s">
        <v>66</v>
      </c>
      <c r="AC9" s="84" t="s">
        <v>147</v>
      </c>
      <c r="AD9" s="84" t="s">
        <v>148</v>
      </c>
      <c r="AE9" s="84" t="s">
        <v>66</v>
      </c>
      <c r="AI9" s="84" t="s">
        <v>147</v>
      </c>
      <c r="AJ9" s="84" t="s">
        <v>148</v>
      </c>
      <c r="AK9" s="84" t="s">
        <v>66</v>
      </c>
      <c r="AO9" s="84" t="s">
        <v>147</v>
      </c>
      <c r="AP9" s="84" t="s">
        <v>148</v>
      </c>
      <c r="AQ9" s="84" t="s">
        <v>66</v>
      </c>
    </row>
    <row r="10" spans="1:45">
      <c r="B10" s="78" t="str">
        <f>INDEX(J:J, MATCH(LARGE(L:L, 8), L:L, 0))</f>
        <v>300124.SZ</v>
      </c>
      <c r="C10" s="78" t="str">
        <f>[1]!thsiFinD("ths_stock_short_name_stock",B10)</f>
        <v>汇川技术</v>
      </c>
      <c r="D10" s="85">
        <f>LARGE(L:L, 8)</f>
        <v>3.2299000000000002</v>
      </c>
      <c r="E10" s="78" t="str">
        <f ca="1">[1]!thsiFinD("ths_the_sw_industry_stock",B10,100,$A$1)</f>
        <v>机械设备</v>
      </c>
      <c r="F10" s="82">
        <f ca="1">[1]!thsiFinD("ths_market_value_stock",B10,$A$1)/100000000</f>
        <v>1861.21967075</v>
      </c>
      <c r="G10" s="86">
        <f t="shared" ca="1" si="0"/>
        <v>-5.5502129413381E-2</v>
      </c>
      <c r="I10" s="84" t="s">
        <v>216</v>
      </c>
      <c r="J10" s="84" t="s">
        <v>217</v>
      </c>
      <c r="K10" s="84" t="s">
        <v>66</v>
      </c>
      <c r="W10" s="84" t="s">
        <v>94</v>
      </c>
      <c r="X10" s="84" t="s">
        <v>100</v>
      </c>
      <c r="Y10" s="84" t="s">
        <v>66</v>
      </c>
      <c r="AC10" s="84" t="s">
        <v>94</v>
      </c>
      <c r="AD10" s="84" t="s">
        <v>548</v>
      </c>
      <c r="AE10" s="84" t="s">
        <v>66</v>
      </c>
      <c r="AI10" s="84" t="s">
        <v>94</v>
      </c>
      <c r="AJ10" s="84" t="s">
        <v>103</v>
      </c>
      <c r="AK10" s="84" t="s">
        <v>66</v>
      </c>
      <c r="AO10" s="84" t="s">
        <v>94</v>
      </c>
      <c r="AP10" s="84" t="s">
        <v>1143</v>
      </c>
      <c r="AQ10" s="84" t="s">
        <v>66</v>
      </c>
    </row>
    <row r="11" spans="1:45">
      <c r="B11" s="74" t="str">
        <f>INDEX(J:J, MATCH(LARGE(L:L, 9), L:L, 0))</f>
        <v>300760.SZ</v>
      </c>
      <c r="C11" s="74" t="str">
        <f>[1]!thsiFinD("ths_stock_short_name_stock",B11)</f>
        <v>迈瑞医疗</v>
      </c>
      <c r="D11" s="75">
        <f>LARGE(L:L, 9)</f>
        <v>2.5421</v>
      </c>
      <c r="E11" s="74" t="str">
        <f ca="1">[1]!thsiFinD("ths_the_sw_industry_stock",B11,100,$A$1)</f>
        <v>医药生物</v>
      </c>
      <c r="F11" s="76">
        <f ca="1">[1]!thsiFinD("ths_market_value_stock",B11,$A$1)/100000000</f>
        <v>2055.3306511087999</v>
      </c>
      <c r="G11" s="77">
        <f t="shared" ca="1" si="0"/>
        <v>-5.0680405443243003E-2</v>
      </c>
      <c r="I11" s="87" t="str">
        <f>[1]!THS_SJC("index","最新;399673.SZ","date=Y","thscode=Y","security_name=Y","weight=Y")</f>
        <v>同花顺iFinD</v>
      </c>
      <c r="J11" s="88"/>
      <c r="K11" s="88"/>
      <c r="W11" s="87" t="str">
        <f>[1]!THS_SJC("index","最新;399006.SZ","date=Y","thscode=Y","security_name=Y","weight=Y")</f>
        <v>同花顺iFinD</v>
      </c>
      <c r="X11" s="88"/>
      <c r="Y11" s="88"/>
      <c r="AC11" s="87" t="str">
        <f>[1]!THS_SJC("index","最新;000688.SH","date=Y","thscode=Y","security_name=Y","weight=Y")</f>
        <v>同花顺iFinD</v>
      </c>
      <c r="AD11" s="88"/>
      <c r="AE11" s="88"/>
      <c r="AI11" s="87" t="str">
        <f>[1]!THS_SJC("index","最新;000300.SH","date=Y","thscode=Y","security_name=Y","weight=Y")</f>
        <v>同花顺iFinD</v>
      </c>
      <c r="AJ11" s="88"/>
      <c r="AK11" s="88"/>
      <c r="AO11" s="87" t="str">
        <f>[1]!THS_SJC("index","最新;000905.SH","date=Y","thscode=Y","security_name=Y","weight=Y")</f>
        <v>同花顺iFinD</v>
      </c>
      <c r="AP11" s="88"/>
      <c r="AQ11" s="88"/>
    </row>
    <row r="12" spans="1:45" ht="16.5">
      <c r="B12" s="78" t="str">
        <f>INDEX(J:J, MATCH(LARGE(L:L, 10), L:L, 0))</f>
        <v>300014.SZ</v>
      </c>
      <c r="C12" s="79" t="str">
        <f>[1]!thsiFinD("ths_stock_short_name_stock",B12)</f>
        <v>亿纬锂能</v>
      </c>
      <c r="D12" s="80">
        <f>LARGE(L:L, 10)</f>
        <v>1.8591</v>
      </c>
      <c r="E12" s="81" t="str">
        <f ca="1">[1]!thsiFinD("ths_the_sw_industry_stock",B12,100,$A$1)</f>
        <v>电力设备</v>
      </c>
      <c r="F12" s="82">
        <f ca="1">[1]!thsiFinD("ths_market_value_stock",B12,$A$1)/100000000</f>
        <v>1468.4777614560001</v>
      </c>
      <c r="G12" s="83">
        <f t="shared" ca="1" si="0"/>
        <v>3.7818821459981999E-2</v>
      </c>
      <c r="I12" s="88" t="s">
        <v>0</v>
      </c>
      <c r="J12" s="88" t="s">
        <v>164</v>
      </c>
      <c r="K12" s="88" t="s">
        <v>213</v>
      </c>
      <c r="L12" s="88" t="s">
        <v>165</v>
      </c>
      <c r="M12" s="72" t="s">
        <v>71</v>
      </c>
      <c r="N12" s="72" t="s">
        <v>7</v>
      </c>
      <c r="Q12" s="89" t="s">
        <v>93</v>
      </c>
      <c r="R12" s="89" t="s">
        <v>94</v>
      </c>
      <c r="S12" s="89" t="s">
        <v>96</v>
      </c>
      <c r="T12" s="89" t="s">
        <v>129</v>
      </c>
      <c r="U12" s="89" t="s">
        <v>95</v>
      </c>
      <c r="V12" s="90"/>
      <c r="W12" s="88" t="s">
        <v>147</v>
      </c>
      <c r="X12" s="88" t="s">
        <v>149</v>
      </c>
      <c r="Y12" s="88" t="s">
        <v>150</v>
      </c>
      <c r="Z12" s="88" t="s">
        <v>151</v>
      </c>
      <c r="AA12" s="72" t="s">
        <v>71</v>
      </c>
      <c r="AC12" s="88" t="s">
        <v>147</v>
      </c>
      <c r="AD12" s="88" t="s">
        <v>549</v>
      </c>
      <c r="AE12" s="88" t="s">
        <v>550</v>
      </c>
      <c r="AF12" s="88" t="s">
        <v>551</v>
      </c>
      <c r="AG12" s="72" t="s">
        <v>97</v>
      </c>
      <c r="AI12" s="88" t="s">
        <v>147</v>
      </c>
      <c r="AJ12" s="88" t="s">
        <v>149</v>
      </c>
      <c r="AK12" s="88" t="s">
        <v>640</v>
      </c>
      <c r="AL12" s="88" t="s">
        <v>151</v>
      </c>
      <c r="AM12" s="72" t="s">
        <v>71</v>
      </c>
      <c r="AO12" s="88" t="s">
        <v>1144</v>
      </c>
      <c r="AP12" s="88" t="s">
        <v>149</v>
      </c>
      <c r="AQ12" s="88" t="s">
        <v>1145</v>
      </c>
      <c r="AR12" s="88" t="s">
        <v>1146</v>
      </c>
      <c r="AS12" s="72" t="s">
        <v>71</v>
      </c>
    </row>
    <row r="13" spans="1:45" ht="16.5">
      <c r="H13" s="91">
        <v>1</v>
      </c>
      <c r="I13" s="92">
        <v>46104</v>
      </c>
      <c r="J13" s="84" t="s">
        <v>218</v>
      </c>
      <c r="K13" s="84" t="s">
        <v>219</v>
      </c>
      <c r="L13" s="93">
        <v>0.49049999999999999</v>
      </c>
      <c r="M13" s="72" t="str">
        <f ca="1">[1]!thsiFinD("ths_the_sw_industry_stock",J13,100,$A$1)</f>
        <v>传媒</v>
      </c>
      <c r="N13" s="83">
        <f ca="1">[1]!thsiFinD("ths_chg_ratio_w_stock",J13,$A$1,100)/100</f>
        <v>-5.0141911069063003E-2</v>
      </c>
      <c r="Q13" s="89" t="s">
        <v>98</v>
      </c>
      <c r="R13" s="89" t="s">
        <v>99</v>
      </c>
      <c r="S13" s="94">
        <f>(SUMIF(K:K, "中际旭创", L:L) + SUMIF(K:K, "新易盛", L:L) + SUMIF(K:K, "天孚通信", L:L))/100</f>
        <v>0.21115999999999999</v>
      </c>
      <c r="T13" s="94">
        <f>GETPIVOTDATA("最新权重",$B$17,"申万一级行业","电力设备")/100</f>
        <v>0.30986999999999998</v>
      </c>
      <c r="U13" s="94">
        <f>(SUMIF(K:K, "东方财富", L:L) + SUMIF(K:K, "同花顺", L:L) + SUMIF(K:K, "指南针", L:L))/100</f>
        <v>9.0077999999999991E-2</v>
      </c>
      <c r="V13" s="89"/>
      <c r="W13" s="92">
        <v>46104</v>
      </c>
      <c r="X13" s="84" t="s">
        <v>320</v>
      </c>
      <c r="Y13" s="84" t="s">
        <v>321</v>
      </c>
      <c r="Z13" s="93">
        <v>0.39939999999999998</v>
      </c>
      <c r="AA13" s="72" t="str">
        <f ca="1">[1]!thsiFinD("ths_the_sw_industry_stock",X13,100,$A$1)</f>
        <v>电力设备</v>
      </c>
      <c r="AC13" s="92">
        <v>46104</v>
      </c>
      <c r="AD13" s="84" t="s">
        <v>552</v>
      </c>
      <c r="AE13" s="84" t="s">
        <v>154</v>
      </c>
      <c r="AF13" s="93">
        <v>7.2439999999999998</v>
      </c>
      <c r="AG13" s="72" t="str">
        <f ca="1">[1]!thsiFinD("ths_the_sw_industry_stock",AD13,100,$A$1)</f>
        <v>电子</v>
      </c>
      <c r="AI13" s="92">
        <v>46104</v>
      </c>
      <c r="AJ13" s="84" t="s">
        <v>641</v>
      </c>
      <c r="AK13" s="84" t="s">
        <v>152</v>
      </c>
      <c r="AL13" s="93">
        <v>0.41099999999999998</v>
      </c>
      <c r="AM13" s="72" t="str">
        <f ca="1">[1]!thsiFinD("ths_the_sw_industry_stock",AJ13,100,$A$1)</f>
        <v>银行</v>
      </c>
      <c r="AO13" s="92">
        <v>46104</v>
      </c>
      <c r="AP13" s="84" t="s">
        <v>1147</v>
      </c>
      <c r="AQ13" s="84" t="s">
        <v>181</v>
      </c>
      <c r="AR13" s="93">
        <v>0.158</v>
      </c>
      <c r="AS13" s="72" t="str">
        <f ca="1">[1]!thsiFinD("ths_the_sw_industry_stock",AP13,100,$A$1)</f>
        <v>电力设备</v>
      </c>
    </row>
    <row r="14" spans="1:45" ht="16.5">
      <c r="H14" s="91">
        <v>2</v>
      </c>
      <c r="I14" s="92">
        <v>46104</v>
      </c>
      <c r="J14" s="84" t="s">
        <v>220</v>
      </c>
      <c r="K14" s="84" t="s">
        <v>221</v>
      </c>
      <c r="L14" s="93">
        <v>1.8591</v>
      </c>
      <c r="M14" s="72" t="str">
        <f ca="1">[1]!thsiFinD("ths_the_sw_industry_stock",J14,100,$A$1)</f>
        <v>电力设备</v>
      </c>
      <c r="N14" s="83">
        <f ca="1">[1]!thsiFinD("ths_chg_ratio_w_stock",J14,$A$1,100)/100</f>
        <v>3.7818821459981999E-2</v>
      </c>
      <c r="Q14" s="89" t="s">
        <v>100</v>
      </c>
      <c r="R14" s="89" t="s">
        <v>101</v>
      </c>
      <c r="S14" s="94">
        <f>(SUMIF(Y:Y, "中际旭创", Z:Z) + SUMIF(Y:Y, "新易盛", Z:Z) + SUMIF(Y:Y, "天孚通信", Z:Z))/100</f>
        <v>0.17297100000000001</v>
      </c>
      <c r="T14" s="95">
        <f>GETPIVOTDATA("最新权重",$B$31,"申万一级行业","电力设备")/100</f>
        <v>0.28375799999999995</v>
      </c>
      <c r="U14" s="94">
        <f>(SUMIF(Y:Y, "东方财富", Z:Z) + SUMIF(Y:Y, "同花顺", Z:Z) + SUMIF(Y:Y, "指南针", Z:Z))/100</f>
        <v>7.3787000000000005E-2</v>
      </c>
      <c r="V14" s="89"/>
      <c r="W14" s="92">
        <v>46104</v>
      </c>
      <c r="X14" s="84" t="s">
        <v>322</v>
      </c>
      <c r="Y14" s="84" t="s">
        <v>323</v>
      </c>
      <c r="Z14" s="93">
        <v>0.40179999999999999</v>
      </c>
      <c r="AA14" s="72" t="str">
        <f ca="1">[1]!thsiFinD("ths_the_sw_industry_stock",X14,100,$A$1)</f>
        <v>传媒</v>
      </c>
      <c r="AC14" s="92">
        <v>46104</v>
      </c>
      <c r="AD14" s="84" t="s">
        <v>553</v>
      </c>
      <c r="AE14" s="84" t="s">
        <v>554</v>
      </c>
      <c r="AF14" s="93">
        <v>0.69</v>
      </c>
      <c r="AG14" s="72" t="str">
        <f ca="1">[1]!thsiFinD("ths_the_sw_industry_stock",AD14,100,$A$1)</f>
        <v>机械设备</v>
      </c>
      <c r="AI14" s="92">
        <v>46104</v>
      </c>
      <c r="AJ14" s="84" t="s">
        <v>642</v>
      </c>
      <c r="AK14" s="84" t="s">
        <v>643</v>
      </c>
      <c r="AL14" s="93">
        <v>0.128</v>
      </c>
      <c r="AM14" s="72" t="str">
        <f ca="1">[1]!thsiFinD("ths_the_sw_industry_stock",AJ14,100,$A$1)</f>
        <v>房地产</v>
      </c>
      <c r="AO14" s="92">
        <v>46104</v>
      </c>
      <c r="AP14" s="84" t="s">
        <v>182</v>
      </c>
      <c r="AQ14" s="84" t="s">
        <v>183</v>
      </c>
      <c r="AR14" s="93">
        <v>0.34499999999999997</v>
      </c>
      <c r="AS14" s="72" t="str">
        <f ca="1">[1]!thsiFinD("ths_the_sw_industry_stock",AP14,100,$A$1)</f>
        <v>电子</v>
      </c>
    </row>
    <row r="15" spans="1:45" ht="16.5">
      <c r="D15" s="96"/>
      <c r="H15" s="91">
        <v>3</v>
      </c>
      <c r="I15" s="92">
        <v>46104</v>
      </c>
      <c r="J15" s="84" t="s">
        <v>222</v>
      </c>
      <c r="K15" s="84" t="s">
        <v>223</v>
      </c>
      <c r="L15" s="93">
        <v>1.0341</v>
      </c>
      <c r="M15" s="72" t="str">
        <f ca="1">[1]!thsiFinD("ths_the_sw_industry_stock",J15,100,$A$1)</f>
        <v>医药生物</v>
      </c>
      <c r="N15" s="83">
        <f ca="1">[1]!thsiFinD("ths_chg_ratio_w_stock",J15,$A$1,100)/100</f>
        <v>-1.7716535433070998E-2</v>
      </c>
      <c r="Q15" s="89" t="s">
        <v>92</v>
      </c>
      <c r="R15" s="89" t="s">
        <v>102</v>
      </c>
      <c r="S15" s="94">
        <f>(SUMIF(AE:AE, "中际旭创", AF:AF) + SUMIF(AE:AE, "新易盛", AF:AF) + SUMIF(AE:AE, "天孚通信", AF:AF))/100</f>
        <v>0</v>
      </c>
      <c r="T15" s="95">
        <f>GETPIVOTDATA("最新权重",$B$54,"申万一级行业","电力设备")/100</f>
        <v>4.8910000000000002E-2</v>
      </c>
      <c r="U15" s="94">
        <v>0</v>
      </c>
      <c r="V15" s="89"/>
      <c r="W15" s="92">
        <v>46104</v>
      </c>
      <c r="X15" s="84" t="s">
        <v>324</v>
      </c>
      <c r="Y15" s="84" t="s">
        <v>325</v>
      </c>
      <c r="Z15" s="93">
        <v>0.39979999999999999</v>
      </c>
      <c r="AA15" s="72" t="str">
        <f ca="1">[1]!thsiFinD("ths_the_sw_industry_stock",X15,100,$A$1)</f>
        <v>医药生物</v>
      </c>
      <c r="AC15" s="92">
        <v>46104</v>
      </c>
      <c r="AD15" s="84" t="s">
        <v>555</v>
      </c>
      <c r="AE15" s="84" t="s">
        <v>556</v>
      </c>
      <c r="AF15" s="93">
        <v>5.9779999999999998</v>
      </c>
      <c r="AG15" s="72" t="str">
        <f ca="1">[1]!thsiFinD("ths_the_sw_industry_stock",AD15,100,$A$1)</f>
        <v>电子</v>
      </c>
      <c r="AI15" s="92">
        <v>46104</v>
      </c>
      <c r="AJ15" s="84" t="s">
        <v>644</v>
      </c>
      <c r="AK15" s="84" t="s">
        <v>645</v>
      </c>
      <c r="AL15" s="93">
        <v>0.48399999999999999</v>
      </c>
      <c r="AM15" s="72" t="str">
        <f ca="1">[1]!thsiFinD("ths_the_sw_industry_stock",AJ15,100,$A$1)</f>
        <v>通信</v>
      </c>
      <c r="AO15" s="92">
        <v>46104</v>
      </c>
      <c r="AP15" s="84" t="s">
        <v>1148</v>
      </c>
      <c r="AQ15" s="84" t="s">
        <v>1149</v>
      </c>
      <c r="AR15" s="93">
        <v>9.1999999999999998E-2</v>
      </c>
      <c r="AS15" s="72" t="str">
        <f ca="1">[1]!thsiFinD("ths_the_sw_industry_stock",AP15,100,$A$1)</f>
        <v>公用事业</v>
      </c>
    </row>
    <row r="16" spans="1:45" ht="16.5">
      <c r="D16" s="96"/>
      <c r="H16" s="91">
        <v>4</v>
      </c>
      <c r="I16" s="92">
        <v>46104</v>
      </c>
      <c r="J16" s="84" t="s">
        <v>224</v>
      </c>
      <c r="K16" s="84" t="s">
        <v>225</v>
      </c>
      <c r="L16" s="93">
        <v>0.95409999999999995</v>
      </c>
      <c r="M16" s="72" t="str">
        <f ca="1">[1]!thsiFinD("ths_the_sw_industry_stock",J16,100,$A$1)</f>
        <v>计算机</v>
      </c>
      <c r="N16" s="83">
        <f ca="1">[1]!thsiFinD("ths_chg_ratio_w_stock",J16,$A$1,100)/100</f>
        <v>-1.2394366197183E-2</v>
      </c>
      <c r="Q16" s="89" t="s">
        <v>103</v>
      </c>
      <c r="R16" s="89" t="s">
        <v>104</v>
      </c>
      <c r="S16" s="94">
        <f>(SUMIF(AK:AK, "中际旭创", AL:AL) + SUMIF(AK:AK, "新易盛", AL:AL) + SUMIF(AK:AK, "天孚通信", AL:AL))/100</f>
        <v>4.3680000000000004E-2</v>
      </c>
      <c r="T16" s="95">
        <f>GETPIVOTDATA("最新权重",$B$73,"申万一级行业","电力设备")/100</f>
        <v>8.2980000000000012E-2</v>
      </c>
      <c r="U16" s="94">
        <f>(SUMIF(AK:AK, "东方财富", AL:AL) + SUMIF(AK:AK, "同花顺", AL:AL) + SUMIF(AK:AK, "指南针", AL:AL))/100</f>
        <v>1.5480000000000001E-2</v>
      </c>
      <c r="V16" s="89"/>
      <c r="W16" s="92">
        <v>46104</v>
      </c>
      <c r="X16" s="84" t="s">
        <v>326</v>
      </c>
      <c r="Y16" s="84" t="s">
        <v>327</v>
      </c>
      <c r="Z16" s="93">
        <v>0.4199</v>
      </c>
      <c r="AA16" s="72" t="str">
        <f ca="1">[1]!thsiFinD("ths_the_sw_industry_stock",X16,100,$A$1)</f>
        <v>社会服务</v>
      </c>
      <c r="AC16" s="92">
        <v>46104</v>
      </c>
      <c r="AD16" s="84" t="s">
        <v>557</v>
      </c>
      <c r="AE16" s="84" t="s">
        <v>558</v>
      </c>
      <c r="AF16" s="93"/>
      <c r="AG16" s="72" t="str">
        <f ca="1">[1]!thsiFinD("ths_the_sw_industry_stock",AD16,100,$A$1)</f>
        <v>通信</v>
      </c>
      <c r="AI16" s="92">
        <v>46104</v>
      </c>
      <c r="AJ16" s="84" t="s">
        <v>646</v>
      </c>
      <c r="AK16" s="84" t="s">
        <v>647</v>
      </c>
      <c r="AL16" s="93">
        <v>0.40200000000000002</v>
      </c>
      <c r="AM16" s="72" t="str">
        <f ca="1">[1]!thsiFinD("ths_the_sw_industry_stock",AJ16,100,$A$1)</f>
        <v>电子</v>
      </c>
      <c r="AO16" s="92">
        <v>46104</v>
      </c>
      <c r="AP16" s="84" t="s">
        <v>1150</v>
      </c>
      <c r="AQ16" s="84" t="s">
        <v>1151</v>
      </c>
      <c r="AR16" s="93">
        <v>0.115</v>
      </c>
      <c r="AS16" s="72" t="str">
        <f ca="1">[1]!thsiFinD("ths_the_sw_industry_stock",AP16,100,$A$1)</f>
        <v>建筑装饰</v>
      </c>
    </row>
    <row r="17" spans="2:45" ht="16.5">
      <c r="B17" s="32" t="s">
        <v>73</v>
      </c>
      <c r="C17" t="s">
        <v>75</v>
      </c>
      <c r="D17" s="97"/>
      <c r="H17" s="91">
        <v>5</v>
      </c>
      <c r="I17" s="92">
        <v>46104</v>
      </c>
      <c r="J17" s="84" t="s">
        <v>226</v>
      </c>
      <c r="K17" s="101" t="s">
        <v>227</v>
      </c>
      <c r="L17" s="93">
        <v>0.46589999999999998</v>
      </c>
      <c r="M17" s="72" t="str">
        <f ca="1">[1]!thsiFinD("ths_the_sw_industry_stock",J17,100,$A$1)</f>
        <v>机械设备</v>
      </c>
      <c r="N17" s="83">
        <f ca="1">[1]!thsiFinD("ths_chg_ratio_w_stock",J17,$A$1,100)/100</f>
        <v>-5.9466019417476E-2</v>
      </c>
      <c r="Q17" s="89" t="s">
        <v>105</v>
      </c>
      <c r="R17" s="89" t="s">
        <v>106</v>
      </c>
      <c r="S17" s="94">
        <f>(SUMIF(AQ:AQ, "中际旭创", AR:AR) + SUMIF(AQ:AQ, "新易盛", AR:AR) + SUMIF(AQ:AQ, "天孚通信", AR:AR))/100</f>
        <v>0</v>
      </c>
      <c r="T17" s="95">
        <f>GETPIVOTDATA("最新权重",$B$106,"申万一级行业","电力设备")/100</f>
        <v>0.10388000000000003</v>
      </c>
      <c r="U17" s="94">
        <f>(SUMIF(AQ:AQ, "东方财富", AR:AR) + SUMIF(AQ:AQ, "同花顺", AR:AR) + SUMIF(AQ:AQ, "指南针", AR:AR))/100</f>
        <v>0</v>
      </c>
      <c r="V17" s="89"/>
      <c r="W17" s="92">
        <v>46104</v>
      </c>
      <c r="X17" s="84" t="s">
        <v>328</v>
      </c>
      <c r="Y17" s="84" t="s">
        <v>329</v>
      </c>
      <c r="Z17" s="93">
        <v>1.5228999999999999</v>
      </c>
      <c r="AA17" s="72" t="str">
        <f ca="1">[1]!thsiFinD("ths_the_sw_industry_stock",X17,100,$A$1)</f>
        <v>电力设备</v>
      </c>
      <c r="AC17" s="92">
        <v>46104</v>
      </c>
      <c r="AD17" s="84" t="s">
        <v>559</v>
      </c>
      <c r="AE17" s="84" t="s">
        <v>560</v>
      </c>
      <c r="AF17" s="93">
        <v>1.5509999999999999</v>
      </c>
      <c r="AG17" s="72" t="str">
        <f ca="1">[1]!thsiFinD("ths_the_sw_industry_stock",AD17,100,$A$1)</f>
        <v>电子</v>
      </c>
      <c r="AI17" s="92">
        <v>46104</v>
      </c>
      <c r="AJ17" s="84" t="s">
        <v>648</v>
      </c>
      <c r="AK17" s="84" t="s">
        <v>649</v>
      </c>
      <c r="AL17" s="93">
        <v>0.193</v>
      </c>
      <c r="AM17" s="72" t="str">
        <f ca="1">[1]!thsiFinD("ths_the_sw_industry_stock",AJ17,100,$A$1)</f>
        <v>机械设备</v>
      </c>
      <c r="AO17" s="92">
        <v>46104</v>
      </c>
      <c r="AP17" s="84" t="s">
        <v>1152</v>
      </c>
      <c r="AQ17" s="84" t="s">
        <v>1153</v>
      </c>
      <c r="AR17" s="93">
        <v>0.21199999999999999</v>
      </c>
      <c r="AS17" s="72" t="str">
        <f ca="1">[1]!thsiFinD("ths_the_sw_industry_stock",AP17,100,$A$1)</f>
        <v>计算机</v>
      </c>
    </row>
    <row r="18" spans="2:45" ht="14.25">
      <c r="B18" s="33" t="s">
        <v>55</v>
      </c>
      <c r="C18" s="102">
        <v>3.7759999999999998</v>
      </c>
      <c r="D18" s="97"/>
      <c r="H18" s="72">
        <v>6</v>
      </c>
      <c r="I18" s="92">
        <v>46104</v>
      </c>
      <c r="J18" s="84" t="s">
        <v>228</v>
      </c>
      <c r="K18" s="84" t="s">
        <v>229</v>
      </c>
      <c r="L18" s="93">
        <v>1.5253000000000001</v>
      </c>
      <c r="M18" s="72" t="str">
        <f ca="1">[1]!thsiFinD("ths_the_sw_industry_stock",J18,100,$A$1)</f>
        <v>计算机</v>
      </c>
      <c r="N18" s="83">
        <f ca="1">[1]!thsiFinD("ths_chg_ratio_w_stock",J18,$A$1,100)/100</f>
        <v>-6.5371802124583002E-3</v>
      </c>
      <c r="W18" s="92">
        <v>46104</v>
      </c>
      <c r="X18" s="84" t="s">
        <v>330</v>
      </c>
      <c r="Y18" s="84" t="s">
        <v>331</v>
      </c>
      <c r="Z18" s="93">
        <v>0.84709999999999996</v>
      </c>
      <c r="AA18" s="72" t="str">
        <f ca="1">[1]!thsiFinD("ths_the_sw_industry_stock",X18,100,$A$1)</f>
        <v>医药生物</v>
      </c>
      <c r="AC18" s="92">
        <v>46104</v>
      </c>
      <c r="AD18" s="84" t="s">
        <v>561</v>
      </c>
      <c r="AE18" s="84" t="s">
        <v>562</v>
      </c>
      <c r="AF18" s="93">
        <v>9.3889999999999993</v>
      </c>
      <c r="AG18" s="72" t="str">
        <f ca="1">[1]!thsiFinD("ths_the_sw_industry_stock",AD18,100,$A$1)</f>
        <v>电子</v>
      </c>
      <c r="AI18" s="92">
        <v>46104</v>
      </c>
      <c r="AJ18" s="84" t="s">
        <v>153</v>
      </c>
      <c r="AK18" s="84" t="s">
        <v>650</v>
      </c>
      <c r="AL18" s="93">
        <v>0.17599999999999999</v>
      </c>
      <c r="AM18" s="72" t="str">
        <f ca="1">[1]!thsiFinD("ths_the_sw_industry_stock",AJ18,100,$A$1)</f>
        <v>非银金融</v>
      </c>
      <c r="AO18" s="92">
        <v>46104</v>
      </c>
      <c r="AP18" s="84" t="s">
        <v>1154</v>
      </c>
      <c r="AQ18" s="84" t="s">
        <v>1155</v>
      </c>
      <c r="AR18" s="93">
        <v>0.22800000000000001</v>
      </c>
      <c r="AS18" s="72" t="str">
        <f ca="1">[1]!thsiFinD("ths_the_sw_industry_stock",AP18,100,$A$1)</f>
        <v>机械设备</v>
      </c>
    </row>
    <row r="19" spans="2:45" ht="14.25">
      <c r="B19" s="33" t="s">
        <v>52</v>
      </c>
      <c r="C19" s="102">
        <v>30.986999999999998</v>
      </c>
      <c r="D19" s="97"/>
      <c r="H19" s="72">
        <v>7</v>
      </c>
      <c r="I19" s="92">
        <v>46104</v>
      </c>
      <c r="J19" s="84" t="s">
        <v>230</v>
      </c>
      <c r="K19" s="84" t="s">
        <v>231</v>
      </c>
      <c r="L19" s="93">
        <v>1.4961</v>
      </c>
      <c r="M19" s="72" t="str">
        <f ca="1">[1]!thsiFinD("ths_the_sw_industry_stock",J19,100,$A$1)</f>
        <v>传媒</v>
      </c>
      <c r="N19" s="83">
        <f ca="1">[1]!thsiFinD("ths_chg_ratio_w_stock",J19,$A$1,100)/100</f>
        <v>-3.1375166889185999E-2</v>
      </c>
      <c r="W19" s="92">
        <v>46104</v>
      </c>
      <c r="X19" s="84" t="s">
        <v>332</v>
      </c>
      <c r="Y19" s="84" t="s">
        <v>333</v>
      </c>
      <c r="Z19" s="93">
        <v>0.78149999999999997</v>
      </c>
      <c r="AA19" s="72" t="str">
        <f ca="1">[1]!thsiFinD("ths_the_sw_industry_stock",X19,100,$A$1)</f>
        <v>计算机</v>
      </c>
      <c r="AC19" s="92">
        <v>46104</v>
      </c>
      <c r="AD19" s="84" t="s">
        <v>563</v>
      </c>
      <c r="AE19" s="84" t="s">
        <v>564</v>
      </c>
      <c r="AF19" s="93">
        <v>1.484</v>
      </c>
      <c r="AG19" s="72" t="str">
        <f ca="1">[1]!thsiFinD("ths_the_sw_industry_stock",AD19,100,$A$1)</f>
        <v>电子</v>
      </c>
      <c r="AI19" s="92">
        <v>46104</v>
      </c>
      <c r="AJ19" s="84" t="s">
        <v>651</v>
      </c>
      <c r="AK19" s="84" t="s">
        <v>652</v>
      </c>
      <c r="AL19" s="93">
        <v>0.13400000000000001</v>
      </c>
      <c r="AM19" s="72" t="str">
        <f ca="1">[1]!thsiFinD("ths_the_sw_industry_stock",AJ19,100,$A$1)</f>
        <v>石油石化</v>
      </c>
      <c r="AO19" s="92">
        <v>46104</v>
      </c>
      <c r="AP19" s="84" t="s">
        <v>1156</v>
      </c>
      <c r="AQ19" s="84" t="s">
        <v>184</v>
      </c>
      <c r="AR19" s="93">
        <v>0.13700000000000001</v>
      </c>
      <c r="AS19" s="72" t="str">
        <f ca="1">[1]!thsiFinD("ths_the_sw_industry_stock",AP19,100,$A$1)</f>
        <v>电子</v>
      </c>
    </row>
    <row r="20" spans="2:45" ht="14.25">
      <c r="B20" s="33" t="s">
        <v>53</v>
      </c>
      <c r="C20" s="102">
        <v>17.017100000000003</v>
      </c>
      <c r="D20" s="97"/>
      <c r="H20" s="72">
        <v>8</v>
      </c>
      <c r="I20" s="92">
        <v>46104</v>
      </c>
      <c r="J20" s="84" t="s">
        <v>232</v>
      </c>
      <c r="K20" s="84" t="s">
        <v>233</v>
      </c>
      <c r="L20" s="93">
        <v>6.516</v>
      </c>
      <c r="M20" s="72" t="str">
        <f ca="1">[1]!thsiFinD("ths_the_sw_industry_stock",J20,100,$A$1)</f>
        <v>非银金融</v>
      </c>
      <c r="N20" s="83">
        <f ca="1">[1]!thsiFinD("ths_chg_ratio_w_stock",J20,$A$1,100)/100</f>
        <v>-4.2180094786730002E-2</v>
      </c>
      <c r="W20" s="92">
        <v>46104</v>
      </c>
      <c r="X20" s="84" t="s">
        <v>334</v>
      </c>
      <c r="Y20" s="84" t="s">
        <v>335</v>
      </c>
      <c r="Z20" s="93">
        <v>0.38159999999999999</v>
      </c>
      <c r="AA20" s="72" t="str">
        <f ca="1">[1]!thsiFinD("ths_the_sw_industry_stock",X20,100,$A$1)</f>
        <v>机械设备</v>
      </c>
      <c r="AC20" s="92">
        <v>46104</v>
      </c>
      <c r="AD20" s="84" t="s">
        <v>565</v>
      </c>
      <c r="AE20" s="84" t="s">
        <v>566</v>
      </c>
      <c r="AF20" s="93">
        <v>0.91900000000000004</v>
      </c>
      <c r="AG20" s="72" t="str">
        <f ca="1">[1]!thsiFinD("ths_the_sw_industry_stock",AD20,100,$A$1)</f>
        <v>基础化工</v>
      </c>
      <c r="AI20" s="92">
        <v>46104</v>
      </c>
      <c r="AJ20" s="84" t="s">
        <v>653</v>
      </c>
      <c r="AK20" s="84" t="s">
        <v>654</v>
      </c>
      <c r="AL20" s="93">
        <v>1.506</v>
      </c>
      <c r="AM20" s="72" t="str">
        <f ca="1">[1]!thsiFinD("ths_the_sw_industry_stock",AJ20,100,$A$1)</f>
        <v>家用电器</v>
      </c>
      <c r="AO20" s="92">
        <v>46104</v>
      </c>
      <c r="AP20" s="84" t="s">
        <v>1157</v>
      </c>
      <c r="AQ20" s="84" t="s">
        <v>1158</v>
      </c>
      <c r="AR20" s="93">
        <v>0.23599999999999999</v>
      </c>
      <c r="AS20" s="72" t="str">
        <f ca="1">[1]!thsiFinD("ths_the_sw_industry_stock",AP20,100,$A$1)</f>
        <v>有色金属</v>
      </c>
    </row>
    <row r="21" spans="2:45" ht="14.25">
      <c r="B21" s="33" t="s">
        <v>67</v>
      </c>
      <c r="C21" s="102">
        <v>6.516</v>
      </c>
      <c r="D21" s="97"/>
      <c r="H21" s="72">
        <v>9</v>
      </c>
      <c r="I21" s="92">
        <v>46104</v>
      </c>
      <c r="J21" s="84" t="s">
        <v>234</v>
      </c>
      <c r="K21" s="84" t="s">
        <v>235</v>
      </c>
      <c r="L21" s="93">
        <v>0.51480000000000004</v>
      </c>
      <c r="M21" s="72" t="str">
        <f ca="1">[1]!thsiFinD("ths_the_sw_industry_stock",J21,100,$A$1)</f>
        <v>电力设备</v>
      </c>
      <c r="N21" s="83">
        <f ca="1">[1]!thsiFinD("ths_chg_ratio_w_stock",J21,$A$1,100)/100</f>
        <v>-4.2056074766354999E-2</v>
      </c>
      <c r="R21" s="92"/>
      <c r="S21" s="84"/>
      <c r="U21" s="93"/>
      <c r="W21" s="92">
        <v>46104</v>
      </c>
      <c r="X21" s="84" t="s">
        <v>336</v>
      </c>
      <c r="Y21" s="84" t="s">
        <v>337</v>
      </c>
      <c r="Z21" s="93">
        <v>1.2495000000000001</v>
      </c>
      <c r="AA21" s="72" t="str">
        <f ca="1">[1]!thsiFinD("ths_the_sw_industry_stock",X21,100,$A$1)</f>
        <v>计算机</v>
      </c>
      <c r="AC21" s="92">
        <v>46104</v>
      </c>
      <c r="AD21" s="84" t="s">
        <v>567</v>
      </c>
      <c r="AE21" s="84" t="s">
        <v>568</v>
      </c>
      <c r="AF21" s="93">
        <v>2.9049999999999998</v>
      </c>
      <c r="AG21" s="72" t="str">
        <f ca="1">[1]!thsiFinD("ths_the_sw_industry_stock",AD21,100,$A$1)</f>
        <v>电子</v>
      </c>
      <c r="AI21" s="92">
        <v>46104</v>
      </c>
      <c r="AJ21" s="84" t="s">
        <v>655</v>
      </c>
      <c r="AK21" s="84" t="s">
        <v>656</v>
      </c>
      <c r="AL21" s="93">
        <v>0.58699999999999997</v>
      </c>
      <c r="AM21" s="72" t="str">
        <f ca="1">[1]!thsiFinD("ths_the_sw_industry_stock",AJ21,100,$A$1)</f>
        <v>汽车</v>
      </c>
      <c r="AO21" s="92">
        <v>46104</v>
      </c>
      <c r="AP21" s="84" t="s">
        <v>1159</v>
      </c>
      <c r="AQ21" s="84" t="s">
        <v>185</v>
      </c>
      <c r="AR21" s="93">
        <v>9.7000000000000003E-2</v>
      </c>
      <c r="AS21" s="72" t="str">
        <f ca="1">[1]!thsiFinD("ths_the_sw_industry_stock",AP21,100,$A$1)</f>
        <v>电子</v>
      </c>
    </row>
    <row r="22" spans="2:45" ht="14.25">
      <c r="B22" s="33" t="s">
        <v>63</v>
      </c>
      <c r="C22" s="102">
        <v>2.3235000000000001</v>
      </c>
      <c r="D22" s="97"/>
      <c r="H22" s="72">
        <v>10</v>
      </c>
      <c r="I22" s="92">
        <v>46104</v>
      </c>
      <c r="J22" s="84" t="s">
        <v>236</v>
      </c>
      <c r="K22" s="84" t="s">
        <v>237</v>
      </c>
      <c r="L22" s="93">
        <v>0.81940000000000002</v>
      </c>
      <c r="M22" s="72" t="str">
        <f ca="1">[1]!thsiFinD("ths_the_sw_industry_stock",J22,100,$A$1)</f>
        <v>电子</v>
      </c>
      <c r="N22" s="83">
        <f ca="1">[1]!thsiFinD("ths_chg_ratio_w_stock",J22,$A$1,100)/100</f>
        <v>-8.1532699510227999E-2</v>
      </c>
      <c r="R22" s="92"/>
      <c r="S22" s="84"/>
      <c r="U22" s="93"/>
      <c r="W22" s="92">
        <v>46104</v>
      </c>
      <c r="X22" s="84" t="s">
        <v>338</v>
      </c>
      <c r="Y22" s="84" t="s">
        <v>339</v>
      </c>
      <c r="Z22" s="93">
        <v>0.50660000000000005</v>
      </c>
      <c r="AA22" s="72" t="str">
        <f ca="1">[1]!thsiFinD("ths_the_sw_industry_stock",X22,100,$A$1)</f>
        <v>电力设备</v>
      </c>
      <c r="AC22" s="92">
        <v>46104</v>
      </c>
      <c r="AD22" s="84" t="s">
        <v>155</v>
      </c>
      <c r="AE22" s="84" t="s">
        <v>569</v>
      </c>
      <c r="AF22" s="93">
        <v>0.77100000000000002</v>
      </c>
      <c r="AG22" s="72" t="str">
        <f ca="1">[1]!thsiFinD("ths_the_sw_industry_stock",AD22,100,$A$1)</f>
        <v>电子</v>
      </c>
      <c r="AI22" s="92">
        <v>46104</v>
      </c>
      <c r="AJ22" s="84" t="s">
        <v>657</v>
      </c>
      <c r="AK22" s="84" t="s">
        <v>658</v>
      </c>
      <c r="AL22" s="93">
        <v>0.26300000000000001</v>
      </c>
      <c r="AM22" s="72" t="str">
        <f ca="1">[1]!thsiFinD("ths_the_sw_industry_stock",AJ22,100,$A$1)</f>
        <v>有色金属</v>
      </c>
      <c r="AO22" s="92">
        <v>46104</v>
      </c>
      <c r="AP22" s="84" t="s">
        <v>1160</v>
      </c>
      <c r="AQ22" s="84" t="s">
        <v>1161</v>
      </c>
      <c r="AR22" s="93">
        <v>0.09</v>
      </c>
      <c r="AS22" s="72" t="str">
        <f ca="1">[1]!thsiFinD("ths_the_sw_industry_stock",AP22,100,$A$1)</f>
        <v>交通运输</v>
      </c>
    </row>
    <row r="23" spans="2:45" ht="14.25">
      <c r="B23" s="33" t="s">
        <v>68</v>
      </c>
      <c r="C23" s="102">
        <v>3.6958000000000002</v>
      </c>
      <c r="D23" s="97"/>
      <c r="I23" s="92">
        <v>46104</v>
      </c>
      <c r="J23" s="84" t="s">
        <v>238</v>
      </c>
      <c r="K23" s="84" t="s">
        <v>239</v>
      </c>
      <c r="L23" s="93">
        <v>0.43709999999999999</v>
      </c>
      <c r="M23" s="72" t="str">
        <f ca="1">[1]!thsiFinD("ths_the_sw_industry_stock",J23,100,$A$1)</f>
        <v>医药生物</v>
      </c>
      <c r="N23" s="83">
        <f ca="1">[1]!thsiFinD("ths_chg_ratio_w_stock",J23,$A$1,100)/100</f>
        <v>-3.2138442521631998E-2</v>
      </c>
      <c r="R23" s="92"/>
      <c r="S23" s="84"/>
      <c r="U23" s="93"/>
      <c r="W23" s="92">
        <v>46104</v>
      </c>
      <c r="X23" s="84" t="s">
        <v>340</v>
      </c>
      <c r="Y23" s="84" t="s">
        <v>341</v>
      </c>
      <c r="Z23" s="93">
        <v>0.58450000000000002</v>
      </c>
      <c r="AA23" s="72" t="str">
        <f ca="1">[1]!thsiFinD("ths_the_sw_industry_stock",X23,100,$A$1)</f>
        <v>电子</v>
      </c>
      <c r="AC23" s="92">
        <v>46104</v>
      </c>
      <c r="AD23" s="84" t="s">
        <v>570</v>
      </c>
      <c r="AE23" s="84" t="s">
        <v>571</v>
      </c>
      <c r="AF23" s="93">
        <v>1.492</v>
      </c>
      <c r="AG23" s="72" t="str">
        <f ca="1">[1]!thsiFinD("ths_the_sw_industry_stock",AD23,100,$A$1)</f>
        <v>电子</v>
      </c>
      <c r="AI23" s="92">
        <v>46104</v>
      </c>
      <c r="AJ23" s="84" t="s">
        <v>659</v>
      </c>
      <c r="AK23" s="84" t="s">
        <v>660</v>
      </c>
      <c r="AL23" s="93">
        <v>0.44800000000000001</v>
      </c>
      <c r="AM23" s="72" t="str">
        <f ca="1">[1]!thsiFinD("ths_the_sw_industry_stock",AJ23,100,$A$1)</f>
        <v>机械设备</v>
      </c>
      <c r="AO23" s="92">
        <v>46104</v>
      </c>
      <c r="AP23" s="84" t="s">
        <v>1162</v>
      </c>
      <c r="AQ23" s="84" t="s">
        <v>1163</v>
      </c>
      <c r="AR23" s="93">
        <v>0.17100000000000001</v>
      </c>
      <c r="AS23" s="72" t="str">
        <f ca="1">[1]!thsiFinD("ths_the_sw_industry_stock",AP23,100,$A$1)</f>
        <v>公用事业</v>
      </c>
    </row>
    <row r="24" spans="2:45" ht="14.25">
      <c r="B24" s="33" t="s">
        <v>54</v>
      </c>
      <c r="C24" s="102">
        <v>5.5861000000000001</v>
      </c>
      <c r="D24" s="97"/>
      <c r="I24" s="92">
        <v>46104</v>
      </c>
      <c r="J24" s="84" t="s">
        <v>240</v>
      </c>
      <c r="K24" s="101" t="s">
        <v>241</v>
      </c>
      <c r="L24" s="93">
        <v>3.2299000000000002</v>
      </c>
      <c r="M24" s="72" t="str">
        <f ca="1">[1]!thsiFinD("ths_the_sw_industry_stock",J24,100,$A$1)</f>
        <v>机械设备</v>
      </c>
      <c r="N24" s="83">
        <f ca="1">[1]!thsiFinD("ths_chg_ratio_w_stock",J24,$A$1,100)/100</f>
        <v>-5.5502129413381E-2</v>
      </c>
      <c r="R24" s="92"/>
      <c r="S24" s="84"/>
      <c r="U24" s="93"/>
      <c r="W24" s="92">
        <v>46104</v>
      </c>
      <c r="X24" s="84" t="s">
        <v>342</v>
      </c>
      <c r="Y24" s="84" t="s">
        <v>343</v>
      </c>
      <c r="Z24" s="93">
        <v>1.2255</v>
      </c>
      <c r="AA24" s="72" t="str">
        <f ca="1">[1]!thsiFinD("ths_the_sw_industry_stock",X24,100,$A$1)</f>
        <v>传媒</v>
      </c>
      <c r="AC24" s="92">
        <v>46104</v>
      </c>
      <c r="AD24" s="84" t="s">
        <v>572</v>
      </c>
      <c r="AE24" s="84" t="s">
        <v>573</v>
      </c>
      <c r="AF24" s="93">
        <v>3.2519999999999998</v>
      </c>
      <c r="AG24" s="72" t="str">
        <f ca="1">[1]!thsiFinD("ths_the_sw_industry_stock",AD24,100,$A$1)</f>
        <v>计算机</v>
      </c>
      <c r="AI24" s="92">
        <v>46104</v>
      </c>
      <c r="AJ24" s="84" t="s">
        <v>661</v>
      </c>
      <c r="AK24" s="84" t="s">
        <v>662</v>
      </c>
      <c r="AL24" s="93">
        <v>0.19500000000000001</v>
      </c>
      <c r="AM24" s="72" t="str">
        <f ca="1">[1]!thsiFinD("ths_the_sw_industry_stock",AJ24,100,$A$1)</f>
        <v>医药生物</v>
      </c>
      <c r="AO24" s="92">
        <v>46104</v>
      </c>
      <c r="AP24" s="84" t="s">
        <v>186</v>
      </c>
      <c r="AQ24" s="84" t="s">
        <v>1164</v>
      </c>
      <c r="AR24" s="93">
        <v>0.20899999999999999</v>
      </c>
      <c r="AS24" s="72" t="str">
        <f ca="1">[1]!thsiFinD("ths_the_sw_industry_stock",AP24,100,$A$1)</f>
        <v>电力设备</v>
      </c>
    </row>
    <row r="25" spans="2:45" ht="14.25">
      <c r="B25" s="33" t="s">
        <v>62</v>
      </c>
      <c r="C25" s="102">
        <v>23.436299999999999</v>
      </c>
      <c r="D25" s="97"/>
      <c r="I25" s="92">
        <v>46104</v>
      </c>
      <c r="J25" s="84" t="s">
        <v>242</v>
      </c>
      <c r="K25" s="84" t="s">
        <v>243</v>
      </c>
      <c r="L25" s="93">
        <v>1.3836999999999999</v>
      </c>
      <c r="M25" s="72" t="str">
        <f ca="1">[1]!thsiFinD("ths_the_sw_industry_stock",J25,100,$A$1)</f>
        <v>电子</v>
      </c>
      <c r="N25" s="83">
        <f ca="1">[1]!thsiFinD("ths_chg_ratio_w_stock",J25,$A$1,100)/100</f>
        <v>-2.3857788866364998E-2</v>
      </c>
      <c r="R25" s="92"/>
      <c r="S25" s="84"/>
      <c r="U25" s="93"/>
      <c r="W25" s="92">
        <v>46104</v>
      </c>
      <c r="X25" s="84" t="s">
        <v>344</v>
      </c>
      <c r="Y25" s="84" t="s">
        <v>345</v>
      </c>
      <c r="Z25" s="93">
        <v>5.3375000000000004</v>
      </c>
      <c r="AA25" s="72" t="str">
        <f ca="1">[1]!thsiFinD("ths_the_sw_industry_stock",X25,100,$A$1)</f>
        <v>非银金融</v>
      </c>
      <c r="AC25" s="92">
        <v>46104</v>
      </c>
      <c r="AD25" s="84" t="s">
        <v>574</v>
      </c>
      <c r="AE25" s="84" t="s">
        <v>575</v>
      </c>
      <c r="AF25" s="93">
        <v>0.74199999999999999</v>
      </c>
      <c r="AG25" s="72" t="str">
        <f ca="1">[1]!thsiFinD("ths_the_sw_industry_stock",AD25,100,$A$1)</f>
        <v>医药生物</v>
      </c>
      <c r="AI25" s="92">
        <v>46104</v>
      </c>
      <c r="AJ25" s="84" t="s">
        <v>663</v>
      </c>
      <c r="AK25" s="84" t="s">
        <v>664</v>
      </c>
      <c r="AL25" s="93">
        <v>0.316</v>
      </c>
      <c r="AM25" s="72" t="str">
        <f ca="1">[1]!thsiFinD("ths_the_sw_industry_stock",AJ25,100,$A$1)</f>
        <v>食品饮料</v>
      </c>
      <c r="AO25" s="92">
        <v>46104</v>
      </c>
      <c r="AP25" s="84" t="s">
        <v>187</v>
      </c>
      <c r="AQ25" s="84" t="s">
        <v>188</v>
      </c>
      <c r="AR25" s="93">
        <v>0.17899999999999999</v>
      </c>
      <c r="AS25" s="72" t="str">
        <f ca="1">[1]!thsiFinD("ths_the_sw_industry_stock",AP25,100,$A$1)</f>
        <v>非银金融</v>
      </c>
    </row>
    <row r="26" spans="2:45" ht="14.25">
      <c r="B26" s="33" t="s">
        <v>64</v>
      </c>
      <c r="C26" s="102">
        <v>6.0359999999999996</v>
      </c>
      <c r="D26" s="97"/>
      <c r="I26" s="92">
        <v>46104</v>
      </c>
      <c r="J26" s="84" t="s">
        <v>244</v>
      </c>
      <c r="K26" s="84" t="s">
        <v>245</v>
      </c>
      <c r="L26" s="93">
        <v>0.79679999999999995</v>
      </c>
      <c r="M26" s="72" t="str">
        <f ca="1">[1]!thsiFinD("ths_the_sw_industry_stock",J26,100,$A$1)</f>
        <v>电力设备</v>
      </c>
      <c r="N26" s="83">
        <f ca="1">[1]!thsiFinD("ths_chg_ratio_w_stock",J26,$A$1,100)/100</f>
        <v>1.1816838995568998E-2</v>
      </c>
      <c r="R26" s="92"/>
      <c r="S26" s="84"/>
      <c r="T26" s="84"/>
      <c r="U26" s="93"/>
      <c r="W26" s="92">
        <v>46104</v>
      </c>
      <c r="X26" s="84" t="s">
        <v>346</v>
      </c>
      <c r="Y26" s="84" t="s">
        <v>347</v>
      </c>
      <c r="Z26" s="93">
        <v>0.42170000000000002</v>
      </c>
      <c r="AA26" s="72" t="str">
        <f ca="1">[1]!thsiFinD("ths_the_sw_industry_stock",X26,100,$A$1)</f>
        <v>电力设备</v>
      </c>
      <c r="AC26" s="92">
        <v>46104</v>
      </c>
      <c r="AD26" s="84" t="s">
        <v>576</v>
      </c>
      <c r="AE26" s="84" t="s">
        <v>577</v>
      </c>
      <c r="AF26" s="93">
        <v>2.2370000000000001</v>
      </c>
      <c r="AG26" s="72" t="str">
        <f ca="1">[1]!thsiFinD("ths_the_sw_industry_stock",AD26,100,$A$1)</f>
        <v>电子</v>
      </c>
      <c r="AI26" s="92">
        <v>46104</v>
      </c>
      <c r="AJ26" s="84" t="s">
        <v>665</v>
      </c>
      <c r="AK26" s="84" t="s">
        <v>666</v>
      </c>
      <c r="AL26" s="93">
        <v>7.6999999999999999E-2</v>
      </c>
      <c r="AM26" s="72" t="str">
        <f ca="1">[1]!thsiFinD("ths_the_sw_industry_stock",AJ26,100,$A$1)</f>
        <v>食品饮料</v>
      </c>
      <c r="AO26" s="92">
        <v>46104</v>
      </c>
      <c r="AP26" s="84" t="s">
        <v>1165</v>
      </c>
      <c r="AQ26" s="84" t="s">
        <v>189</v>
      </c>
      <c r="AR26" s="93">
        <v>0.22500000000000001</v>
      </c>
      <c r="AS26" s="72" t="str">
        <f ca="1">[1]!thsiFinD("ths_the_sw_industry_stock",AP26,100,$A$1)</f>
        <v>医药生物</v>
      </c>
    </row>
    <row r="27" spans="2:45" ht="14.25">
      <c r="B27" s="33" t="s">
        <v>113</v>
      </c>
      <c r="C27" s="102">
        <v>0.62609999999999999</v>
      </c>
      <c r="D27" s="97"/>
      <c r="I27" s="92">
        <v>46104</v>
      </c>
      <c r="J27" s="84" t="s">
        <v>246</v>
      </c>
      <c r="K27" s="84" t="s">
        <v>247</v>
      </c>
      <c r="L27" s="93">
        <v>1.0282</v>
      </c>
      <c r="M27" s="72" t="str">
        <f ca="1">[1]!thsiFinD("ths_the_sw_industry_stock",J27,100,$A$1)</f>
        <v>电子</v>
      </c>
      <c r="N27" s="83">
        <f ca="1">[1]!thsiFinD("ths_chg_ratio_w_stock",J27,$A$1,100)/100</f>
        <v>5.4553084347460003E-3</v>
      </c>
      <c r="W27" s="92">
        <v>46104</v>
      </c>
      <c r="X27" s="84" t="s">
        <v>348</v>
      </c>
      <c r="Y27" s="84" t="s">
        <v>349</v>
      </c>
      <c r="Z27" s="93">
        <v>0.2024</v>
      </c>
      <c r="AA27" s="72" t="str">
        <f ca="1">[1]!thsiFinD("ths_the_sw_industry_stock",X27,100,$A$1)</f>
        <v>汽车</v>
      </c>
      <c r="AC27" s="92">
        <v>46104</v>
      </c>
      <c r="AD27" s="84" t="s">
        <v>578</v>
      </c>
      <c r="AE27" s="84" t="s">
        <v>579</v>
      </c>
      <c r="AF27" s="93">
        <v>1.9139999999999999</v>
      </c>
      <c r="AG27" s="72" t="str">
        <f ca="1">[1]!thsiFinD("ths_the_sw_industry_stock",AD27,100,$A$1)</f>
        <v>国防军工</v>
      </c>
      <c r="AI27" s="92">
        <v>46104</v>
      </c>
      <c r="AJ27" s="84" t="s">
        <v>667</v>
      </c>
      <c r="AK27" s="84" t="s">
        <v>668</v>
      </c>
      <c r="AL27" s="93">
        <v>8.8999999999999996E-2</v>
      </c>
      <c r="AM27" s="72" t="str">
        <f ca="1">[1]!thsiFinD("ths_the_sw_industry_stock",AJ27,100,$A$1)</f>
        <v>非银金融</v>
      </c>
      <c r="AO27" s="92">
        <v>46104</v>
      </c>
      <c r="AP27" s="84" t="s">
        <v>1166</v>
      </c>
      <c r="AQ27" s="84" t="s">
        <v>1167</v>
      </c>
      <c r="AR27" s="93">
        <v>0.71899999999999997</v>
      </c>
      <c r="AS27" s="72" t="str">
        <f ca="1">[1]!thsiFinD("ths_the_sw_industry_stock",AP27,100,$A$1)</f>
        <v>有色金属</v>
      </c>
    </row>
    <row r="28" spans="2:45" ht="14.25">
      <c r="B28" s="33" t="s">
        <v>74</v>
      </c>
      <c r="C28" s="102">
        <v>99.999900000000011</v>
      </c>
      <c r="D28" s="97"/>
      <c r="I28" s="92">
        <v>46104</v>
      </c>
      <c r="J28" s="84" t="s">
        <v>248</v>
      </c>
      <c r="K28" s="84" t="s">
        <v>249</v>
      </c>
      <c r="L28" s="93">
        <v>0.62039999999999995</v>
      </c>
      <c r="M28" s="72" t="str">
        <f ca="1">[1]!thsiFinD("ths_the_sw_industry_stock",J28,100,$A$1)</f>
        <v>传媒</v>
      </c>
      <c r="N28" s="83">
        <f ca="1">[1]!thsiFinD("ths_chg_ratio_w_stock",J28,$A$1,100)/100</f>
        <v>-5.5961070559610998E-2</v>
      </c>
      <c r="W28" s="92">
        <v>46104</v>
      </c>
      <c r="X28" s="84" t="s">
        <v>350</v>
      </c>
      <c r="Y28" s="84" t="s">
        <v>351</v>
      </c>
      <c r="Z28" s="93">
        <v>0.67120000000000002</v>
      </c>
      <c r="AA28" s="72" t="str">
        <f ca="1">[1]!thsiFinD("ths_the_sw_industry_stock",X28,100,$A$1)</f>
        <v>电子</v>
      </c>
      <c r="AC28" s="92">
        <v>46104</v>
      </c>
      <c r="AD28" s="84" t="s">
        <v>580</v>
      </c>
      <c r="AE28" s="84" t="s">
        <v>581</v>
      </c>
      <c r="AF28" s="93">
        <v>1.9410000000000001</v>
      </c>
      <c r="AG28" s="72" t="str">
        <f ca="1">[1]!thsiFinD("ths_the_sw_industry_stock",AD28,100,$A$1)</f>
        <v>电子</v>
      </c>
      <c r="AI28" s="92">
        <v>46104</v>
      </c>
      <c r="AJ28" s="84" t="s">
        <v>669</v>
      </c>
      <c r="AK28" s="84" t="s">
        <v>670</v>
      </c>
      <c r="AL28" s="93">
        <v>0.214</v>
      </c>
      <c r="AM28" s="72" t="str">
        <f ca="1">[1]!thsiFinD("ths_the_sw_industry_stock",AJ28,100,$A$1)</f>
        <v>汽车</v>
      </c>
      <c r="AO28" s="92">
        <v>46104</v>
      </c>
      <c r="AP28" s="84" t="s">
        <v>1168</v>
      </c>
      <c r="AQ28" s="84" t="s">
        <v>1169</v>
      </c>
      <c r="AR28" s="93">
        <v>5.8999999999999997E-2</v>
      </c>
      <c r="AS28" s="72" t="str">
        <f ca="1">[1]!thsiFinD("ths_the_sw_industry_stock",AP28,100,$A$1)</f>
        <v>交通运输</v>
      </c>
    </row>
    <row r="29" spans="2:45" ht="14.25">
      <c r="B29" s="97"/>
      <c r="C29" s="97"/>
      <c r="D29" s="97"/>
      <c r="I29" s="92">
        <v>46104</v>
      </c>
      <c r="J29" s="84" t="s">
        <v>250</v>
      </c>
      <c r="K29" s="84" t="s">
        <v>251</v>
      </c>
      <c r="L29" s="93">
        <v>0.69059999999999999</v>
      </c>
      <c r="M29" s="72" t="str">
        <f ca="1">[1]!thsiFinD("ths_the_sw_industry_stock",J29,100,$A$1)</f>
        <v>医药生物</v>
      </c>
      <c r="N29" s="83">
        <f ca="1">[1]!thsiFinD("ths_chg_ratio_w_stock",J29,$A$1,100)/100</f>
        <v>-8.442956230566899E-2</v>
      </c>
      <c r="W29" s="92">
        <v>46104</v>
      </c>
      <c r="X29" s="84" t="s">
        <v>352</v>
      </c>
      <c r="Y29" s="84" t="s">
        <v>353</v>
      </c>
      <c r="Z29" s="93">
        <v>0.35799999999999998</v>
      </c>
      <c r="AA29" s="72" t="str">
        <f ca="1">[1]!thsiFinD("ths_the_sw_industry_stock",X29,100,$A$1)</f>
        <v>医药生物</v>
      </c>
      <c r="AC29" s="92">
        <v>46104</v>
      </c>
      <c r="AD29" s="84" t="s">
        <v>582</v>
      </c>
      <c r="AE29" s="84" t="s">
        <v>583</v>
      </c>
      <c r="AF29" s="93">
        <v>1.383</v>
      </c>
      <c r="AG29" s="72" t="str">
        <f ca="1">[1]!thsiFinD("ths_the_sw_industry_stock",AD29,100,$A$1)</f>
        <v>家用电器</v>
      </c>
      <c r="AI29" s="92">
        <v>46104</v>
      </c>
      <c r="AJ29" s="84" t="s">
        <v>671</v>
      </c>
      <c r="AK29" s="84" t="s">
        <v>672</v>
      </c>
      <c r="AL29" s="93">
        <v>0.248</v>
      </c>
      <c r="AM29" s="72" t="str">
        <f ca="1">[1]!thsiFinD("ths_the_sw_industry_stock",AJ29,100,$A$1)</f>
        <v>有色金属</v>
      </c>
      <c r="AO29" s="92">
        <v>46104</v>
      </c>
      <c r="AP29" s="84" t="s">
        <v>1170</v>
      </c>
      <c r="AQ29" s="84" t="s">
        <v>1171</v>
      </c>
      <c r="AR29" s="93">
        <v>0.11799999999999999</v>
      </c>
      <c r="AS29" s="72" t="str">
        <f ca="1">[1]!thsiFinD("ths_the_sw_industry_stock",AP29,100,$A$1)</f>
        <v>医药生物</v>
      </c>
    </row>
    <row r="30" spans="2:45" ht="14.25">
      <c r="B30" s="97"/>
      <c r="C30" s="97"/>
      <c r="D30" s="97"/>
      <c r="I30" s="92">
        <v>46104</v>
      </c>
      <c r="J30" s="84" t="s">
        <v>252</v>
      </c>
      <c r="K30" s="84" t="s">
        <v>253</v>
      </c>
      <c r="L30" s="93">
        <v>4.8080999999999996</v>
      </c>
      <c r="M30" s="72" t="str">
        <f ca="1">[1]!thsiFinD("ths_the_sw_industry_stock",J30,100,$A$1)</f>
        <v>电力设备</v>
      </c>
      <c r="N30" s="83">
        <f ca="1">[1]!thsiFinD("ths_chg_ratio_w_stock",J30,$A$1,100)/100</f>
        <v>-1.0205827014082999E-2</v>
      </c>
      <c r="W30" s="92">
        <v>46104</v>
      </c>
      <c r="X30" s="84" t="s">
        <v>354</v>
      </c>
      <c r="Y30" s="84" t="s">
        <v>355</v>
      </c>
      <c r="Z30" s="93">
        <v>2.6457000000000002</v>
      </c>
      <c r="AA30" s="72" t="str">
        <f ca="1">[1]!thsiFinD("ths_the_sw_industry_stock",X30,100,$A$1)</f>
        <v>机械设备</v>
      </c>
      <c r="AC30" s="92">
        <v>46104</v>
      </c>
      <c r="AD30" s="84" t="s">
        <v>207</v>
      </c>
      <c r="AE30" s="84" t="s">
        <v>208</v>
      </c>
      <c r="AF30" s="93">
        <v>1.0029999999999999</v>
      </c>
      <c r="AG30" s="72" t="str">
        <f ca="1">[1]!thsiFinD("ths_the_sw_industry_stock",AD30,100,$A$1)</f>
        <v>电子</v>
      </c>
      <c r="AI30" s="92">
        <v>46104</v>
      </c>
      <c r="AJ30" s="84" t="s">
        <v>673</v>
      </c>
      <c r="AK30" s="84" t="s">
        <v>674</v>
      </c>
      <c r="AL30" s="93">
        <v>0.65300000000000002</v>
      </c>
      <c r="AM30" s="72" t="str">
        <f ca="1">[1]!thsiFinD("ths_the_sw_industry_stock",AJ30,100,$A$1)</f>
        <v>家用电器</v>
      </c>
      <c r="AO30" s="92">
        <v>46104</v>
      </c>
      <c r="AP30" s="84" t="s">
        <v>1172</v>
      </c>
      <c r="AQ30" s="84" t="s">
        <v>1173</v>
      </c>
      <c r="AR30" s="93">
        <v>0.155</v>
      </c>
      <c r="AS30" s="72" t="str">
        <f ca="1">[1]!thsiFinD("ths_the_sw_industry_stock",AP30,100,$A$1)</f>
        <v>国防军工</v>
      </c>
    </row>
    <row r="31" spans="2:45" ht="14.25">
      <c r="B31" s="32" t="s">
        <v>73</v>
      </c>
      <c r="C31" t="s">
        <v>75</v>
      </c>
      <c r="D31" s="97"/>
      <c r="I31" s="92">
        <v>46104</v>
      </c>
      <c r="J31" s="84" t="s">
        <v>254</v>
      </c>
      <c r="K31" s="84" t="s">
        <v>255</v>
      </c>
      <c r="L31" s="93">
        <v>10.263</v>
      </c>
      <c r="M31" s="72" t="str">
        <f ca="1">[1]!thsiFinD("ths_the_sw_industry_stock",J31,100,$A$1)</f>
        <v>通信</v>
      </c>
      <c r="N31" s="83">
        <f ca="1">[1]!thsiFinD("ths_chg_ratio_w_stock",J31,$A$1,100)/100</f>
        <v>0.12910962695104</v>
      </c>
      <c r="W31" s="92">
        <v>46104</v>
      </c>
      <c r="X31" s="84" t="s">
        <v>356</v>
      </c>
      <c r="Y31" s="84" t="s">
        <v>357</v>
      </c>
      <c r="Z31" s="93">
        <v>1.1335</v>
      </c>
      <c r="AA31" s="72" t="str">
        <f ca="1">[1]!thsiFinD("ths_the_sw_industry_stock",X31,100,$A$1)</f>
        <v>电子</v>
      </c>
      <c r="AC31" s="92">
        <v>46104</v>
      </c>
      <c r="AD31" s="84" t="s">
        <v>584</v>
      </c>
      <c r="AE31" s="84" t="s">
        <v>585</v>
      </c>
      <c r="AF31" s="93">
        <v>0.72199999999999998</v>
      </c>
      <c r="AG31" s="72" t="str">
        <f ca="1">[1]!thsiFinD("ths_the_sw_industry_stock",AD31,100,$A$1)</f>
        <v>机械设备</v>
      </c>
      <c r="AI31" s="92">
        <v>46104</v>
      </c>
      <c r="AJ31" s="84" t="s">
        <v>675</v>
      </c>
      <c r="AK31" s="84" t="s">
        <v>676</v>
      </c>
      <c r="AL31" s="93">
        <v>0.122</v>
      </c>
      <c r="AM31" s="72" t="str">
        <f ca="1">[1]!thsiFinD("ths_the_sw_industry_stock",AJ31,100,$A$1)</f>
        <v>医药生物</v>
      </c>
      <c r="AO31" s="92">
        <v>46104</v>
      </c>
      <c r="AP31" s="84" t="s">
        <v>1174</v>
      </c>
      <c r="AQ31" s="84" t="s">
        <v>1175</v>
      </c>
      <c r="AR31" s="93">
        <v>0.17799999999999999</v>
      </c>
      <c r="AS31" s="72" t="str">
        <f ca="1">[1]!thsiFinD("ths_the_sw_industry_stock",AP31,100,$A$1)</f>
        <v>机械设备</v>
      </c>
    </row>
    <row r="32" spans="2:45" ht="14.25">
      <c r="B32" s="33" t="s">
        <v>55</v>
      </c>
      <c r="C32" s="102">
        <v>3.3698999999999999</v>
      </c>
      <c r="D32" s="97"/>
      <c r="I32" s="92">
        <v>46104</v>
      </c>
      <c r="J32" s="84" t="s">
        <v>256</v>
      </c>
      <c r="K32" s="84" t="s">
        <v>257</v>
      </c>
      <c r="L32" s="93">
        <v>0.76470000000000005</v>
      </c>
      <c r="M32" s="72" t="str">
        <f ca="1">[1]!thsiFinD("ths_the_sw_industry_stock",J32,100,$A$1)</f>
        <v>电力设备</v>
      </c>
      <c r="N32" s="83">
        <f ca="1">[1]!thsiFinD("ths_chg_ratio_w_stock",J32,$A$1,100)/100</f>
        <v>-3.1137470874814999E-2</v>
      </c>
      <c r="W32" s="92">
        <v>46104</v>
      </c>
      <c r="X32" s="84" t="s">
        <v>358</v>
      </c>
      <c r="Y32" s="84" t="s">
        <v>359</v>
      </c>
      <c r="Z32" s="93">
        <v>0.36609999999999998</v>
      </c>
      <c r="AA32" s="72" t="str">
        <f ca="1">[1]!thsiFinD("ths_the_sw_industry_stock",X32,100,$A$1)</f>
        <v>医药生物</v>
      </c>
      <c r="AC32" s="92">
        <v>46104</v>
      </c>
      <c r="AD32" s="84" t="s">
        <v>586</v>
      </c>
      <c r="AE32" s="84" t="s">
        <v>587</v>
      </c>
      <c r="AF32" s="93">
        <v>0.81699999999999995</v>
      </c>
      <c r="AG32" s="72" t="str">
        <f ca="1">[1]!thsiFinD("ths_the_sw_industry_stock",AD32,100,$A$1)</f>
        <v>计算机</v>
      </c>
      <c r="AI32" s="92">
        <v>46104</v>
      </c>
      <c r="AJ32" s="84" t="s">
        <v>677</v>
      </c>
      <c r="AK32" s="84" t="s">
        <v>678</v>
      </c>
      <c r="AL32" s="93">
        <v>7.0999999999999994E-2</v>
      </c>
      <c r="AM32" s="72" t="str">
        <f ca="1">[1]!thsiFinD("ths_the_sw_industry_stock",AJ32,100,$A$1)</f>
        <v>钢铁</v>
      </c>
      <c r="AO32" s="92">
        <v>46104</v>
      </c>
      <c r="AP32" s="84" t="s">
        <v>1176</v>
      </c>
      <c r="AQ32" s="84" t="s">
        <v>1177</v>
      </c>
      <c r="AR32" s="93">
        <v>6.8000000000000005E-2</v>
      </c>
      <c r="AS32" s="72" t="str">
        <f ca="1">[1]!thsiFinD("ths_the_sw_industry_stock",AP32,100,$A$1)</f>
        <v>公用事业</v>
      </c>
    </row>
    <row r="33" spans="2:45" ht="14.25">
      <c r="B33" s="33" t="s">
        <v>52</v>
      </c>
      <c r="C33" s="102">
        <v>28.375799999999998</v>
      </c>
      <c r="D33" s="97"/>
      <c r="I33" s="92">
        <v>46104</v>
      </c>
      <c r="J33" s="84" t="s">
        <v>258</v>
      </c>
      <c r="K33" s="84" t="s">
        <v>259</v>
      </c>
      <c r="L33" s="93">
        <v>0.8851</v>
      </c>
      <c r="M33" s="72" t="str">
        <f ca="1">[1]!thsiFinD("ths_the_sw_industry_stock",J33,100,$A$1)</f>
        <v>计算机</v>
      </c>
      <c r="N33" s="83">
        <f ca="1">[1]!thsiFinD("ths_chg_ratio_w_stock",J33,$A$1,100)/100</f>
        <v>-7.8396436525611998E-2</v>
      </c>
      <c r="W33" s="92">
        <v>46104</v>
      </c>
      <c r="X33" s="84" t="s">
        <v>360</v>
      </c>
      <c r="Y33" s="84" t="s">
        <v>361</v>
      </c>
      <c r="Z33" s="93">
        <v>0.24460000000000001</v>
      </c>
      <c r="AA33" s="72" t="str">
        <f ca="1">[1]!thsiFinD("ths_the_sw_industry_stock",X33,100,$A$1)</f>
        <v>社会服务</v>
      </c>
      <c r="AC33" s="92">
        <v>46104</v>
      </c>
      <c r="AD33" s="84" t="s">
        <v>588</v>
      </c>
      <c r="AE33" s="84" t="s">
        <v>589</v>
      </c>
      <c r="AF33" s="93">
        <v>1.2769999999999999</v>
      </c>
      <c r="AG33" s="72" t="str">
        <f ca="1">[1]!thsiFinD("ths_the_sw_industry_stock",AD33,100,$A$1)</f>
        <v>电子</v>
      </c>
      <c r="AI33" s="92">
        <v>46104</v>
      </c>
      <c r="AJ33" s="84" t="s">
        <v>679</v>
      </c>
      <c r="AK33" s="84" t="s">
        <v>680</v>
      </c>
      <c r="AL33" s="93">
        <v>0.64</v>
      </c>
      <c r="AM33" s="72" t="str">
        <f ca="1">[1]!thsiFinD("ths_the_sw_industry_stock",AJ33,100,$A$1)</f>
        <v>电子</v>
      </c>
      <c r="AO33" s="92">
        <v>46104</v>
      </c>
      <c r="AP33" s="84" t="s">
        <v>1178</v>
      </c>
      <c r="AQ33" s="84" t="s">
        <v>1179</v>
      </c>
      <c r="AR33" s="93">
        <v>4.2000000000000003E-2</v>
      </c>
      <c r="AS33" s="72" t="str">
        <f ca="1">[1]!thsiFinD("ths_the_sw_industry_stock",AP33,100,$A$1)</f>
        <v>公用事业</v>
      </c>
    </row>
    <row r="34" spans="2:45" ht="14.25">
      <c r="B34" s="33" t="s">
        <v>53</v>
      </c>
      <c r="C34" s="102">
        <v>17.640599999999999</v>
      </c>
      <c r="D34" s="97"/>
      <c r="I34" s="92">
        <v>46104</v>
      </c>
      <c r="J34" s="84" t="s">
        <v>260</v>
      </c>
      <c r="K34" s="84" t="s">
        <v>261</v>
      </c>
      <c r="L34" s="93">
        <v>0.75549999999999995</v>
      </c>
      <c r="M34" s="72" t="str">
        <f ca="1">[1]!thsiFinD("ths_the_sw_industry_stock",J34,100,$A$1)</f>
        <v>电子</v>
      </c>
      <c r="N34" s="83">
        <f ca="1">[1]!thsiFinD("ths_chg_ratio_w_stock",J34,$A$1,100)/100</f>
        <v>-7.4632790789996004E-2</v>
      </c>
      <c r="W34" s="92">
        <v>46104</v>
      </c>
      <c r="X34" s="84" t="s">
        <v>362</v>
      </c>
      <c r="Y34" s="84" t="s">
        <v>363</v>
      </c>
      <c r="Z34" s="93">
        <v>0.2165</v>
      </c>
      <c r="AA34" s="72" t="str">
        <f ca="1">[1]!thsiFinD("ths_the_sw_industry_stock",X34,100,$A$1)</f>
        <v>食品饮料</v>
      </c>
      <c r="AC34" s="92">
        <v>46104</v>
      </c>
      <c r="AD34" s="84" t="s">
        <v>590</v>
      </c>
      <c r="AE34" s="84" t="s">
        <v>591</v>
      </c>
      <c r="AF34" s="93">
        <v>1.1439999999999999</v>
      </c>
      <c r="AG34" s="72" t="str">
        <f ca="1">[1]!thsiFinD("ths_the_sw_industry_stock",AD34,100,$A$1)</f>
        <v>电子</v>
      </c>
      <c r="AI34" s="92">
        <v>46104</v>
      </c>
      <c r="AJ34" s="84" t="s">
        <v>681</v>
      </c>
      <c r="AK34" s="84" t="s">
        <v>682</v>
      </c>
      <c r="AL34" s="93">
        <v>0.16700000000000001</v>
      </c>
      <c r="AM34" s="72" t="str">
        <f ca="1">[1]!thsiFinD("ths_the_sw_industry_stock",AJ34,100,$A$1)</f>
        <v>国防军工</v>
      </c>
      <c r="AO34" s="92">
        <v>46104</v>
      </c>
      <c r="AP34" s="84" t="s">
        <v>1180</v>
      </c>
      <c r="AQ34" s="84" t="s">
        <v>1181</v>
      </c>
      <c r="AR34" s="93">
        <v>0.24399999999999999</v>
      </c>
      <c r="AS34" s="72" t="str">
        <f ca="1">[1]!thsiFinD("ths_the_sw_industry_stock",AP34,100,$A$1)</f>
        <v>汽车</v>
      </c>
    </row>
    <row r="35" spans="2:45" ht="14.25">
      <c r="B35" s="33" t="s">
        <v>107</v>
      </c>
      <c r="C35" s="102">
        <v>0.1643</v>
      </c>
      <c r="D35" s="97"/>
      <c r="I35" s="92">
        <v>46104</v>
      </c>
      <c r="J35" s="84" t="s">
        <v>262</v>
      </c>
      <c r="K35" s="84" t="s">
        <v>263</v>
      </c>
      <c r="L35" s="93">
        <v>0.70589999999999997</v>
      </c>
      <c r="M35" s="72" t="str">
        <f ca="1">[1]!thsiFinD("ths_the_sw_industry_stock",J35,100,$A$1)</f>
        <v>医药生物</v>
      </c>
      <c r="N35" s="83">
        <f ca="1">[1]!thsiFinD("ths_chg_ratio_w_stock",J35,$A$1,100)/100</f>
        <v>-8.8913082925059006E-2</v>
      </c>
      <c r="W35" s="92">
        <v>46104</v>
      </c>
      <c r="X35" s="84" t="s">
        <v>364</v>
      </c>
      <c r="Y35" s="84" t="s">
        <v>365</v>
      </c>
      <c r="Z35" s="93">
        <v>0.65269999999999995</v>
      </c>
      <c r="AA35" s="72" t="str">
        <f ca="1">[1]!thsiFinD("ths_the_sw_industry_stock",X35,100,$A$1)</f>
        <v>电力设备</v>
      </c>
      <c r="AC35" s="92">
        <v>46104</v>
      </c>
      <c r="AD35" s="84" t="s">
        <v>592</v>
      </c>
      <c r="AE35" s="84" t="s">
        <v>593</v>
      </c>
      <c r="AF35" s="93">
        <v>1.407</v>
      </c>
      <c r="AG35" s="72" t="str">
        <f ca="1">[1]!thsiFinD("ths_the_sw_industry_stock",AD35,100,$A$1)</f>
        <v>电力设备</v>
      </c>
      <c r="AI35" s="92">
        <v>46104</v>
      </c>
      <c r="AJ35" s="84" t="s">
        <v>683</v>
      </c>
      <c r="AK35" s="84" t="s">
        <v>684</v>
      </c>
      <c r="AL35" s="93">
        <v>0.23899999999999999</v>
      </c>
      <c r="AM35" s="72" t="str">
        <f ca="1">[1]!thsiFinD("ths_the_sw_industry_stock",AJ35,100,$A$1)</f>
        <v>非银金融</v>
      </c>
      <c r="AO35" s="92">
        <v>46104</v>
      </c>
      <c r="AP35" s="84" t="s">
        <v>1182</v>
      </c>
      <c r="AQ35" s="84" t="s">
        <v>1183</v>
      </c>
      <c r="AR35" s="93">
        <v>0.10199999999999999</v>
      </c>
      <c r="AS35" s="72" t="str">
        <f ca="1">[1]!thsiFinD("ths_the_sw_industry_stock",AP35,100,$A$1)</f>
        <v>非银金融</v>
      </c>
    </row>
    <row r="36" spans="2:45" ht="14.25">
      <c r="B36" s="33" t="s">
        <v>67</v>
      </c>
      <c r="C36" s="102">
        <v>5.3375000000000004</v>
      </c>
      <c r="D36" s="97"/>
      <c r="I36" s="92">
        <v>46104</v>
      </c>
      <c r="J36" s="84" t="s">
        <v>264</v>
      </c>
      <c r="K36" s="84" t="s">
        <v>265</v>
      </c>
      <c r="L36" s="93">
        <v>0.56569999999999998</v>
      </c>
      <c r="M36" s="72" t="str">
        <f ca="1">[1]!thsiFinD("ths_the_sw_industry_stock",J36,100,$A$1)</f>
        <v>电子</v>
      </c>
      <c r="N36" s="83">
        <f ca="1">[1]!thsiFinD("ths_chg_ratio_w_stock",J36,$A$1,100)/100</f>
        <v>-4.7927461139896002E-2</v>
      </c>
      <c r="W36" s="92">
        <v>46104</v>
      </c>
      <c r="X36" s="84" t="s">
        <v>366</v>
      </c>
      <c r="Y36" s="84" t="s">
        <v>367</v>
      </c>
      <c r="Z36" s="93">
        <v>0.84230000000000005</v>
      </c>
      <c r="AA36" s="72" t="str">
        <f ca="1">[1]!thsiFinD("ths_the_sw_industry_stock",X36,100,$A$1)</f>
        <v>电子</v>
      </c>
      <c r="AC36" s="92">
        <v>46104</v>
      </c>
      <c r="AD36" s="84" t="s">
        <v>209</v>
      </c>
      <c r="AE36" s="84" t="s">
        <v>594</v>
      </c>
      <c r="AF36" s="93">
        <v>0.93500000000000005</v>
      </c>
      <c r="AG36" s="72" t="str">
        <f ca="1">[1]!thsiFinD("ths_the_sw_industry_stock",AD36,100,$A$1)</f>
        <v>电子</v>
      </c>
      <c r="AI36" s="92">
        <v>46104</v>
      </c>
      <c r="AJ36" s="84" t="s">
        <v>685</v>
      </c>
      <c r="AK36" s="84" t="s">
        <v>686</v>
      </c>
      <c r="AL36" s="93">
        <v>0.111</v>
      </c>
      <c r="AM36" s="72" t="str">
        <f ca="1">[1]!thsiFinD("ths_the_sw_industry_stock",AJ36,100,$A$1)</f>
        <v>建筑材料</v>
      </c>
      <c r="AO36" s="92">
        <v>46104</v>
      </c>
      <c r="AP36" s="84" t="s">
        <v>1184</v>
      </c>
      <c r="AQ36" s="84" t="s">
        <v>1185</v>
      </c>
      <c r="AR36" s="93">
        <v>9.9000000000000005E-2</v>
      </c>
      <c r="AS36" s="72" t="str">
        <f ca="1">[1]!thsiFinD("ths_the_sw_industry_stock",AP36,100,$A$1)</f>
        <v>交通运输</v>
      </c>
    </row>
    <row r="37" spans="2:45" ht="14.25">
      <c r="B37" s="33" t="s">
        <v>63</v>
      </c>
      <c r="C37" s="102">
        <v>2.7587000000000002</v>
      </c>
      <c r="D37" s="97"/>
      <c r="I37" s="92">
        <v>46104</v>
      </c>
      <c r="J37" s="84" t="s">
        <v>266</v>
      </c>
      <c r="K37" s="84" t="s">
        <v>267</v>
      </c>
      <c r="L37" s="93">
        <v>3.6545000000000001</v>
      </c>
      <c r="M37" s="72" t="str">
        <f ca="1">[1]!thsiFinD("ths_the_sw_industry_stock",J37,100,$A$1)</f>
        <v>通信</v>
      </c>
      <c r="N37" s="83">
        <f ca="1">[1]!thsiFinD("ths_chg_ratio_w_stock",J37,$A$1,100)/100</f>
        <v>-0.04</v>
      </c>
      <c r="W37" s="92">
        <v>46104</v>
      </c>
      <c r="X37" s="84" t="s">
        <v>368</v>
      </c>
      <c r="Y37" s="84" t="s">
        <v>369</v>
      </c>
      <c r="Z37" s="93">
        <v>0.50819999999999999</v>
      </c>
      <c r="AA37" s="72" t="str">
        <f ca="1">[1]!thsiFinD("ths_the_sw_industry_stock",X37,100,$A$1)</f>
        <v>传媒</v>
      </c>
      <c r="AC37" s="92">
        <v>46104</v>
      </c>
      <c r="AD37" s="84" t="s">
        <v>595</v>
      </c>
      <c r="AE37" s="84" t="s">
        <v>596</v>
      </c>
      <c r="AF37" s="93">
        <v>1.665</v>
      </c>
      <c r="AG37" s="72" t="str">
        <f ca="1">[1]!thsiFinD("ths_the_sw_industry_stock",AD37,100,$A$1)</f>
        <v>电子</v>
      </c>
      <c r="AI37" s="92">
        <v>46104</v>
      </c>
      <c r="AJ37" s="84" t="s">
        <v>687</v>
      </c>
      <c r="AK37" s="84" t="s">
        <v>688</v>
      </c>
      <c r="AL37" s="93">
        <v>0.47199999999999998</v>
      </c>
      <c r="AM37" s="72" t="str">
        <f ca="1">[1]!thsiFinD("ths_the_sw_industry_stock",AJ37,100,$A$1)</f>
        <v>基础化工</v>
      </c>
      <c r="AO37" s="92">
        <v>46104</v>
      </c>
      <c r="AP37" s="84" t="s">
        <v>1186</v>
      </c>
      <c r="AQ37" s="84" t="s">
        <v>1187</v>
      </c>
      <c r="AR37" s="93">
        <v>0.14699999999999999</v>
      </c>
      <c r="AS37" s="72" t="str">
        <f ca="1">[1]!thsiFinD("ths_the_sw_industry_stock",AP37,100,$A$1)</f>
        <v>公用事业</v>
      </c>
    </row>
    <row r="38" spans="2:45" ht="14.25">
      <c r="B38" s="33" t="s">
        <v>68</v>
      </c>
      <c r="C38" s="102">
        <v>3.7588000000000004</v>
      </c>
      <c r="D38" s="97"/>
      <c r="I38" s="92">
        <v>46104</v>
      </c>
      <c r="J38" s="84" t="s">
        <v>268</v>
      </c>
      <c r="K38" s="84" t="s">
        <v>269</v>
      </c>
      <c r="L38" s="93">
        <v>1.2726999999999999</v>
      </c>
      <c r="M38" s="72" t="str">
        <f ca="1">[1]!thsiFinD("ths_the_sw_industry_stock",J38,100,$A$1)</f>
        <v>国防军工</v>
      </c>
      <c r="N38" s="83">
        <f ca="1">[1]!thsiFinD("ths_chg_ratio_w_stock",J38,$A$1,100)/100</f>
        <v>-0.14073748902546002</v>
      </c>
      <c r="W38" s="92">
        <v>46104</v>
      </c>
      <c r="X38" s="84" t="s">
        <v>370</v>
      </c>
      <c r="Y38" s="84" t="s">
        <v>371</v>
      </c>
      <c r="Z38" s="93">
        <v>0.3518</v>
      </c>
      <c r="AA38" s="72" t="str">
        <f ca="1">[1]!thsiFinD("ths_the_sw_industry_stock",X38,100,$A$1)</f>
        <v>计算机</v>
      </c>
      <c r="AC38" s="92">
        <v>46104</v>
      </c>
      <c r="AD38" s="84" t="s">
        <v>597</v>
      </c>
      <c r="AE38" s="84" t="s">
        <v>598</v>
      </c>
      <c r="AF38" s="93">
        <v>7.51</v>
      </c>
      <c r="AG38" s="72" t="str">
        <f ca="1">[1]!thsiFinD("ths_the_sw_industry_stock",AD38,100,$A$1)</f>
        <v>电子</v>
      </c>
      <c r="AI38" s="92">
        <v>46104</v>
      </c>
      <c r="AJ38" s="84" t="s">
        <v>689</v>
      </c>
      <c r="AK38" s="84" t="s">
        <v>690</v>
      </c>
      <c r="AL38" s="93">
        <v>0.253</v>
      </c>
      <c r="AM38" s="72" t="str">
        <f ca="1">[1]!thsiFinD("ths_the_sw_industry_stock",AJ38,100,$A$1)</f>
        <v>有色金属</v>
      </c>
      <c r="AO38" s="92">
        <v>46104</v>
      </c>
      <c r="AP38" s="84" t="s">
        <v>1188</v>
      </c>
      <c r="AQ38" s="84" t="s">
        <v>1189</v>
      </c>
      <c r="AR38" s="93">
        <v>0.10100000000000001</v>
      </c>
      <c r="AS38" s="72" t="str">
        <f ca="1">[1]!thsiFinD("ths_the_sw_industry_stock",AP38,100,$A$1)</f>
        <v>环保</v>
      </c>
    </row>
    <row r="39" spans="2:45" ht="14.25">
      <c r="B39" s="33" t="s">
        <v>109</v>
      </c>
      <c r="C39" s="102">
        <v>0.34339999999999998</v>
      </c>
      <c r="D39" s="97"/>
      <c r="I39" s="92">
        <v>46104</v>
      </c>
      <c r="J39" s="84" t="s">
        <v>270</v>
      </c>
      <c r="K39" s="84" t="s">
        <v>271</v>
      </c>
      <c r="L39" s="93">
        <v>1.7758</v>
      </c>
      <c r="M39" s="72" t="str">
        <f ca="1">[1]!thsiFinD("ths_the_sw_industry_stock",J39,100,$A$1)</f>
        <v>电子</v>
      </c>
      <c r="N39" s="83">
        <f ca="1">[1]!thsiFinD("ths_chg_ratio_w_stock",J39,$A$1,100)/100</f>
        <v>-5.2929366672749998E-3</v>
      </c>
      <c r="W39" s="92">
        <v>46104</v>
      </c>
      <c r="X39" s="84" t="s">
        <v>372</v>
      </c>
      <c r="Y39" s="84" t="s">
        <v>373</v>
      </c>
      <c r="Z39" s="93">
        <v>0.56569999999999998</v>
      </c>
      <c r="AA39" s="72" t="str">
        <f ca="1">[1]!thsiFinD("ths_the_sw_industry_stock",X39,100,$A$1)</f>
        <v>医药生物</v>
      </c>
      <c r="AC39" s="92">
        <v>46104</v>
      </c>
      <c r="AD39" s="84" t="s">
        <v>156</v>
      </c>
      <c r="AE39" s="84" t="s">
        <v>599</v>
      </c>
      <c r="AF39" s="93">
        <v>3.0129999999999999</v>
      </c>
      <c r="AG39" s="72" t="str">
        <f ca="1">[1]!thsiFinD("ths_the_sw_industry_stock",AD39,100,$A$1)</f>
        <v>医药生物</v>
      </c>
      <c r="AI39" s="92">
        <v>46104</v>
      </c>
      <c r="AJ39" s="84" t="s">
        <v>691</v>
      </c>
      <c r="AK39" s="84" t="s">
        <v>692</v>
      </c>
      <c r="AL39" s="93">
        <v>0.78600000000000003</v>
      </c>
      <c r="AM39" s="72" t="str">
        <f ca="1">[1]!thsiFinD("ths_the_sw_industry_stock",AJ39,100,$A$1)</f>
        <v>食品饮料</v>
      </c>
      <c r="AO39" s="92">
        <v>46104</v>
      </c>
      <c r="AP39" s="84" t="s">
        <v>190</v>
      </c>
      <c r="AQ39" s="84" t="s">
        <v>1190</v>
      </c>
      <c r="AR39" s="93">
        <v>0.16700000000000001</v>
      </c>
      <c r="AS39" s="72" t="str">
        <f ca="1">[1]!thsiFinD("ths_the_sw_industry_stock",AP39,100,$A$1)</f>
        <v>医药生物</v>
      </c>
    </row>
    <row r="40" spans="2:45" ht="14.25">
      <c r="B40" s="33" t="s">
        <v>54</v>
      </c>
      <c r="C40" s="102">
        <v>5.3220000000000001</v>
      </c>
      <c r="D40" s="97"/>
      <c r="I40" s="92">
        <v>46104</v>
      </c>
      <c r="J40" s="84" t="s">
        <v>272</v>
      </c>
      <c r="K40" s="84" t="s">
        <v>273</v>
      </c>
      <c r="L40" s="93">
        <v>1.169</v>
      </c>
      <c r="M40" s="72" t="str">
        <f ca="1">[1]!thsiFinD("ths_the_sw_industry_stock",J40,100,$A$1)</f>
        <v>传媒</v>
      </c>
      <c r="N40" s="83">
        <f ca="1">[1]!thsiFinD("ths_chg_ratio_w_stock",J40,$A$1,100)/100</f>
        <v>6.1571965947337007E-2</v>
      </c>
      <c r="W40" s="92">
        <v>46104</v>
      </c>
      <c r="X40" s="84" t="s">
        <v>374</v>
      </c>
      <c r="Y40" s="84" t="s">
        <v>375</v>
      </c>
      <c r="Z40" s="93">
        <v>3.9384999999999999</v>
      </c>
      <c r="AA40" s="72" t="str">
        <f ca="1">[1]!thsiFinD("ths_the_sw_industry_stock",X40,100,$A$1)</f>
        <v>电力设备</v>
      </c>
      <c r="AC40" s="92">
        <v>46104</v>
      </c>
      <c r="AD40" s="84" t="s">
        <v>600</v>
      </c>
      <c r="AE40" s="84" t="s">
        <v>601</v>
      </c>
      <c r="AF40" s="93">
        <v>0.57199999999999995</v>
      </c>
      <c r="AG40" s="72" t="str">
        <f ca="1">[1]!thsiFinD("ths_the_sw_industry_stock",AD40,100,$A$1)</f>
        <v>医药生物</v>
      </c>
      <c r="AI40" s="92">
        <v>46104</v>
      </c>
      <c r="AJ40" s="84" t="s">
        <v>693</v>
      </c>
      <c r="AK40" s="84" t="s">
        <v>694</v>
      </c>
      <c r="AL40" s="93">
        <v>7.5999999999999998E-2</v>
      </c>
      <c r="AM40" s="72" t="str">
        <f ca="1">[1]!thsiFinD("ths_the_sw_industry_stock",AJ40,100,$A$1)</f>
        <v>农林牧渔</v>
      </c>
      <c r="AO40" s="92">
        <v>46104</v>
      </c>
      <c r="AP40" s="84" t="s">
        <v>1191</v>
      </c>
      <c r="AQ40" s="84" t="s">
        <v>1192</v>
      </c>
      <c r="AR40" s="93">
        <v>0.18099999999999999</v>
      </c>
      <c r="AS40" s="72" t="str">
        <f ca="1">[1]!thsiFinD("ths_the_sw_industry_stock",AP40,100,$A$1)</f>
        <v>钢铁</v>
      </c>
    </row>
    <row r="41" spans="2:45" ht="14.25">
      <c r="B41" s="33" t="s">
        <v>69</v>
      </c>
      <c r="C41" s="102">
        <v>0.64559999999999995</v>
      </c>
      <c r="D41" s="97"/>
      <c r="I41" s="92">
        <v>46104</v>
      </c>
      <c r="J41" s="84" t="s">
        <v>274</v>
      </c>
      <c r="K41" s="84" t="s">
        <v>275</v>
      </c>
      <c r="L41" s="93">
        <v>1.5314000000000001</v>
      </c>
      <c r="M41" s="72" t="str">
        <f ca="1">[1]!thsiFinD("ths_the_sw_industry_stock",J41,100,$A$1)</f>
        <v>电子</v>
      </c>
      <c r="N41" s="83">
        <f ca="1">[1]!thsiFinD("ths_chg_ratio_w_stock",J41,$A$1,100)/100</f>
        <v>-6.8549666772453E-2</v>
      </c>
      <c r="W41" s="92">
        <v>46104</v>
      </c>
      <c r="X41" s="84" t="s">
        <v>376</v>
      </c>
      <c r="Y41" s="84" t="s">
        <v>377</v>
      </c>
      <c r="Z41" s="93">
        <v>0.58489999999999998</v>
      </c>
      <c r="AA41" s="72" t="str">
        <f ca="1">[1]!thsiFinD("ths_the_sw_industry_stock",X41,100,$A$1)</f>
        <v>电子</v>
      </c>
      <c r="AC41" s="92">
        <v>46104</v>
      </c>
      <c r="AD41" s="84" t="s">
        <v>602</v>
      </c>
      <c r="AE41" s="84" t="s">
        <v>603</v>
      </c>
      <c r="AF41" s="93">
        <v>0.628</v>
      </c>
      <c r="AG41" s="72" t="str">
        <f ca="1">[1]!thsiFinD("ths_the_sw_industry_stock",AD41,100,$A$1)</f>
        <v>国防军工</v>
      </c>
      <c r="AI41" s="92">
        <v>46104</v>
      </c>
      <c r="AJ41" s="84" t="s">
        <v>695</v>
      </c>
      <c r="AK41" s="84" t="s">
        <v>696</v>
      </c>
      <c r="AL41" s="93">
        <v>0.106</v>
      </c>
      <c r="AM41" s="72" t="str">
        <f ca="1">[1]!thsiFinD("ths_the_sw_industry_stock",AJ41,100,$A$1)</f>
        <v>食品饮料</v>
      </c>
      <c r="AO41" s="92">
        <v>46104</v>
      </c>
      <c r="AP41" s="84" t="s">
        <v>1193</v>
      </c>
      <c r="AQ41" s="84" t="s">
        <v>1194</v>
      </c>
      <c r="AR41" s="93">
        <v>0.55400000000000005</v>
      </c>
      <c r="AS41" s="72" t="str">
        <f ca="1">[1]!thsiFinD("ths_the_sw_industry_stock",AP41,100,$A$1)</f>
        <v>有色金属</v>
      </c>
    </row>
    <row r="42" spans="2:45" ht="14.25">
      <c r="B42" s="33" t="s">
        <v>110</v>
      </c>
      <c r="C42" s="102">
        <v>2.0411999999999999</v>
      </c>
      <c r="D42" s="97"/>
      <c r="I42" s="92">
        <v>46104</v>
      </c>
      <c r="J42" s="84" t="s">
        <v>276</v>
      </c>
      <c r="K42" s="84" t="s">
        <v>277</v>
      </c>
      <c r="L42" s="93">
        <v>1.5887</v>
      </c>
      <c r="M42" s="72" t="str">
        <f ca="1">[1]!thsiFinD("ths_the_sw_industry_stock",J42,100,$A$1)</f>
        <v>通信</v>
      </c>
      <c r="N42" s="83">
        <f ca="1">[1]!thsiFinD("ths_chg_ratio_w_stock",J42,$A$1,100)/100</f>
        <v>2.9087862101986998E-2</v>
      </c>
      <c r="W42" s="92">
        <v>46104</v>
      </c>
      <c r="X42" s="84" t="s">
        <v>378</v>
      </c>
      <c r="Y42" s="84" t="s">
        <v>379</v>
      </c>
      <c r="Z42" s="93">
        <v>8.4069000000000003</v>
      </c>
      <c r="AA42" s="72" t="str">
        <f ca="1">[1]!thsiFinD("ths_the_sw_industry_stock",X42,100,$A$1)</f>
        <v>通信</v>
      </c>
      <c r="AC42" s="92">
        <v>46104</v>
      </c>
      <c r="AD42" s="84" t="s">
        <v>157</v>
      </c>
      <c r="AE42" s="84" t="s">
        <v>604</v>
      </c>
      <c r="AF42" s="93">
        <v>0.71699999999999997</v>
      </c>
      <c r="AG42" s="72" t="str">
        <f ca="1">[1]!thsiFinD("ths_the_sw_industry_stock",AD42,100,$A$1)</f>
        <v>电力设备</v>
      </c>
      <c r="AI42" s="92">
        <v>46104</v>
      </c>
      <c r="AJ42" s="84" t="s">
        <v>697</v>
      </c>
      <c r="AK42" s="84" t="s">
        <v>698</v>
      </c>
      <c r="AL42" s="93">
        <v>0.20200000000000001</v>
      </c>
      <c r="AM42" s="72" t="str">
        <f ca="1">[1]!thsiFinD("ths_the_sw_industry_stock",AJ42,100,$A$1)</f>
        <v>计算机</v>
      </c>
      <c r="AO42" s="92">
        <v>46104</v>
      </c>
      <c r="AP42" s="84" t="s">
        <v>1195</v>
      </c>
      <c r="AQ42" s="84" t="s">
        <v>1196</v>
      </c>
      <c r="AR42" s="93">
        <v>0.224</v>
      </c>
      <c r="AS42" s="72" t="str">
        <f ca="1">[1]!thsiFinD("ths_the_sw_industry_stock",AP42,100,$A$1)</f>
        <v>基础化工</v>
      </c>
    </row>
    <row r="43" spans="2:45" ht="14.25">
      <c r="B43" s="33" t="s">
        <v>111</v>
      </c>
      <c r="C43" s="102">
        <v>0.66449999999999998</v>
      </c>
      <c r="D43" s="97"/>
      <c r="I43" s="92">
        <v>46104</v>
      </c>
      <c r="J43" s="84" t="s">
        <v>278</v>
      </c>
      <c r="K43" s="100" t="s">
        <v>279</v>
      </c>
      <c r="L43" s="93">
        <v>1.3494999999999999</v>
      </c>
      <c r="M43" s="72" t="str">
        <f ca="1">[1]!thsiFinD("ths_the_sw_industry_stock",J43,100,$A$1)</f>
        <v>电力设备</v>
      </c>
      <c r="N43" s="83">
        <f ca="1">[1]!thsiFinD("ths_chg_ratio_w_stock",J43,$A$1,100)/100</f>
        <v>-5.5684007707129002E-2</v>
      </c>
      <c r="W43" s="92">
        <v>46104</v>
      </c>
      <c r="X43" s="84" t="s">
        <v>380</v>
      </c>
      <c r="Y43" s="84" t="s">
        <v>381</v>
      </c>
      <c r="Z43" s="93">
        <v>0.62639999999999996</v>
      </c>
      <c r="AA43" s="72" t="str">
        <f ca="1">[1]!thsiFinD("ths_the_sw_industry_stock",X43,100,$A$1)</f>
        <v>电力设备</v>
      </c>
      <c r="AC43" s="92">
        <v>46104</v>
      </c>
      <c r="AD43" s="84" t="s">
        <v>605</v>
      </c>
      <c r="AE43" s="84" t="s">
        <v>606</v>
      </c>
      <c r="AF43" s="93">
        <v>0.30399999999999999</v>
      </c>
      <c r="AG43" s="72" t="str">
        <f ca="1">[1]!thsiFinD("ths_the_sw_industry_stock",AD43,100,$A$1)</f>
        <v>电力设备</v>
      </c>
      <c r="AI43" s="92">
        <v>46104</v>
      </c>
      <c r="AJ43" s="84" t="s">
        <v>699</v>
      </c>
      <c r="AK43" s="84" t="s">
        <v>700</v>
      </c>
      <c r="AL43" s="93">
        <v>0.123</v>
      </c>
      <c r="AM43" s="72" t="str">
        <f ca="1">[1]!thsiFinD("ths_the_sw_industry_stock",AJ43,100,$A$1)</f>
        <v>医药生物</v>
      </c>
      <c r="AO43" s="92">
        <v>46104</v>
      </c>
      <c r="AP43" s="84" t="s">
        <v>191</v>
      </c>
      <c r="AQ43" s="84" t="s">
        <v>192</v>
      </c>
      <c r="AR43" s="93">
        <v>0.21199999999999999</v>
      </c>
      <c r="AS43" s="72" t="str">
        <f ca="1">[1]!thsiFinD("ths_the_sw_industry_stock",AP43,100,$A$1)</f>
        <v>石油石化</v>
      </c>
    </row>
    <row r="44" spans="2:45" ht="14.25">
      <c r="B44" s="33" t="s">
        <v>112</v>
      </c>
      <c r="C44" s="102">
        <v>0.5585</v>
      </c>
      <c r="D44" s="97"/>
      <c r="I44" s="92">
        <v>46104</v>
      </c>
      <c r="J44" s="84" t="s">
        <v>280</v>
      </c>
      <c r="K44" s="100" t="s">
        <v>281</v>
      </c>
      <c r="L44" s="93">
        <v>0.56830000000000003</v>
      </c>
      <c r="M44" s="72" t="str">
        <f ca="1">[1]!thsiFinD("ths_the_sw_industry_stock",J44,100,$A$1)</f>
        <v>电子</v>
      </c>
      <c r="N44" s="83">
        <f ca="1">[1]!thsiFinD("ths_chg_ratio_w_stock",J44,$A$1,100)/100</f>
        <v>-4.4922913343966003E-2</v>
      </c>
      <c r="W44" s="92">
        <v>46104</v>
      </c>
      <c r="X44" s="84" t="s">
        <v>382</v>
      </c>
      <c r="Y44" s="84" t="s">
        <v>383</v>
      </c>
      <c r="Z44" s="93">
        <v>0.72499999999999998</v>
      </c>
      <c r="AA44" s="72" t="str">
        <f ca="1">[1]!thsiFinD("ths_the_sw_industry_stock",X44,100,$A$1)</f>
        <v>计算机</v>
      </c>
      <c r="AC44" s="92">
        <v>46104</v>
      </c>
      <c r="AD44" s="84" t="s">
        <v>607</v>
      </c>
      <c r="AE44" s="84" t="s">
        <v>210</v>
      </c>
      <c r="AF44" s="93"/>
      <c r="AG44" s="72" t="str">
        <f ca="1">[1]!thsiFinD("ths_the_sw_industry_stock",AD44,100,$A$1)</f>
        <v>电子</v>
      </c>
      <c r="AI44" s="92">
        <v>46104</v>
      </c>
      <c r="AJ44" s="84" t="s">
        <v>701</v>
      </c>
      <c r="AK44" s="84" t="s">
        <v>702</v>
      </c>
      <c r="AL44" s="93">
        <v>0.20100000000000001</v>
      </c>
      <c r="AM44" s="72" t="str">
        <f ca="1">[1]!thsiFinD("ths_the_sw_industry_stock",AJ44,100,$A$1)</f>
        <v>有色金属</v>
      </c>
      <c r="AO44" s="92">
        <v>46104</v>
      </c>
      <c r="AP44" s="84" t="s">
        <v>1197</v>
      </c>
      <c r="AQ44" s="84" t="s">
        <v>1198</v>
      </c>
      <c r="AR44" s="93">
        <v>0.10100000000000001</v>
      </c>
      <c r="AS44" s="72" t="str">
        <f ca="1">[1]!thsiFinD("ths_the_sw_industry_stock",AP44,100,$A$1)</f>
        <v>钢铁</v>
      </c>
    </row>
    <row r="45" spans="2:45" ht="14.25">
      <c r="B45" s="33" t="s">
        <v>62</v>
      </c>
      <c r="C45" s="102">
        <v>20.4939</v>
      </c>
      <c r="D45" s="97"/>
      <c r="I45" s="92">
        <v>46104</v>
      </c>
      <c r="J45" s="84" t="s">
        <v>282</v>
      </c>
      <c r="K45" s="84" t="s">
        <v>283</v>
      </c>
      <c r="L45" s="93">
        <v>0.55479999999999996</v>
      </c>
      <c r="M45" s="72" t="str">
        <f ca="1">[1]!thsiFinD("ths_the_sw_industry_stock",J45,100,$A$1)</f>
        <v>国防军工</v>
      </c>
      <c r="N45" s="83">
        <f ca="1">[1]!thsiFinD("ths_chg_ratio_w_stock",J45,$A$1,100)/100</f>
        <v>-3.2487623762375E-3</v>
      </c>
      <c r="W45" s="92">
        <v>46104</v>
      </c>
      <c r="X45" s="84" t="s">
        <v>384</v>
      </c>
      <c r="Y45" s="100" t="s">
        <v>385</v>
      </c>
      <c r="Z45" s="93">
        <v>0.61880000000000002</v>
      </c>
      <c r="AA45" s="72" t="str">
        <f ca="1">[1]!thsiFinD("ths_the_sw_industry_stock",X45,100,$A$1)</f>
        <v>电子</v>
      </c>
      <c r="AC45" s="92">
        <v>46104</v>
      </c>
      <c r="AD45" s="84" t="s">
        <v>608</v>
      </c>
      <c r="AE45" s="84" t="s">
        <v>609</v>
      </c>
      <c r="AF45" s="93">
        <v>1.0249999999999999</v>
      </c>
      <c r="AG45" s="72" t="str">
        <f ca="1">[1]!thsiFinD("ths_the_sw_industry_stock",AD45,100,$A$1)</f>
        <v>国防军工</v>
      </c>
      <c r="AI45" s="92">
        <v>46104</v>
      </c>
      <c r="AJ45" s="84" t="s">
        <v>703</v>
      </c>
      <c r="AK45" s="84" t="s">
        <v>704</v>
      </c>
      <c r="AL45" s="93">
        <v>0.255</v>
      </c>
      <c r="AM45" s="72" t="str">
        <f ca="1">[1]!thsiFinD("ths_the_sw_industry_stock",AJ45,100,$A$1)</f>
        <v>计算机</v>
      </c>
      <c r="AO45" s="92">
        <v>46104</v>
      </c>
      <c r="AP45" s="84" t="s">
        <v>1199</v>
      </c>
      <c r="AQ45" s="84" t="s">
        <v>1200</v>
      </c>
      <c r="AR45" s="93">
        <v>0.14799999999999999</v>
      </c>
      <c r="AS45" s="72" t="str">
        <f ca="1">[1]!thsiFinD("ths_the_sw_industry_stock",AP45,100,$A$1)</f>
        <v>煤炭</v>
      </c>
    </row>
    <row r="46" spans="2:45" ht="14.25">
      <c r="B46" s="33" t="s">
        <v>64</v>
      </c>
      <c r="C46" s="102">
        <v>7.5240999999999989</v>
      </c>
      <c r="D46" s="97"/>
      <c r="I46" s="92">
        <v>46104</v>
      </c>
      <c r="J46" s="84" t="s">
        <v>284</v>
      </c>
      <c r="K46" s="101" t="s">
        <v>285</v>
      </c>
      <c r="L46" s="93">
        <v>4.1612999999999998</v>
      </c>
      <c r="M46" s="72" t="str">
        <f ca="1">[1]!thsiFinD("ths_the_sw_industry_stock",J46,100,$A$1)</f>
        <v>电子</v>
      </c>
      <c r="N46" s="83">
        <f ca="1">[1]!thsiFinD("ths_chg_ratio_w_stock",J46,$A$1,100)/100</f>
        <v>1.7611328756784001E-3</v>
      </c>
      <c r="W46" s="92">
        <v>46104</v>
      </c>
      <c r="X46" s="84" t="s">
        <v>386</v>
      </c>
      <c r="Y46" s="84" t="s">
        <v>387</v>
      </c>
      <c r="Z46" s="93">
        <v>0.57820000000000005</v>
      </c>
      <c r="AA46" s="72" t="str">
        <f ca="1">[1]!thsiFinD("ths_the_sw_industry_stock",X46,100,$A$1)</f>
        <v>医药生物</v>
      </c>
      <c r="AC46" s="92">
        <v>46104</v>
      </c>
      <c r="AD46" s="84" t="s">
        <v>158</v>
      </c>
      <c r="AE46" s="84" t="s">
        <v>610</v>
      </c>
      <c r="AF46" s="93">
        <v>1.4139999999999999</v>
      </c>
      <c r="AG46" s="72" t="str">
        <f ca="1">[1]!thsiFinD("ths_the_sw_industry_stock",AD46,100,$A$1)</f>
        <v>电子</v>
      </c>
      <c r="AI46" s="92">
        <v>46104</v>
      </c>
      <c r="AJ46" s="84" t="s">
        <v>705</v>
      </c>
      <c r="AK46" s="84" t="s">
        <v>706</v>
      </c>
      <c r="AL46" s="93">
        <v>8.1000000000000003E-2</v>
      </c>
      <c r="AM46" s="72" t="str">
        <f ca="1">[1]!thsiFinD("ths_the_sw_industry_stock",AJ46,100,$A$1)</f>
        <v>煤炭</v>
      </c>
      <c r="AO46" s="92">
        <v>46104</v>
      </c>
      <c r="AP46" s="84" t="s">
        <v>1201</v>
      </c>
      <c r="AQ46" s="84" t="s">
        <v>1202</v>
      </c>
      <c r="AR46" s="93">
        <v>0.2</v>
      </c>
      <c r="AS46" s="72" t="str">
        <f ca="1">[1]!thsiFinD("ths_the_sw_industry_stock",AP46,100,$A$1)</f>
        <v>非银金融</v>
      </c>
    </row>
    <row r="47" spans="2:45" ht="14.25">
      <c r="B47" s="33" t="s">
        <v>113</v>
      </c>
      <c r="C47" s="102">
        <v>0.51290000000000002</v>
      </c>
      <c r="D47" s="97"/>
      <c r="I47" s="92">
        <v>46104</v>
      </c>
      <c r="J47" s="84" t="s">
        <v>286</v>
      </c>
      <c r="K47" s="84" t="s">
        <v>287</v>
      </c>
      <c r="L47" s="93">
        <v>0.57340000000000002</v>
      </c>
      <c r="M47" s="72" t="str">
        <f ca="1">[1]!thsiFinD("ths_the_sw_industry_stock",J47,100,$A$1)</f>
        <v>计算机</v>
      </c>
      <c r="N47" s="83">
        <f ca="1">[1]!thsiFinD("ths_chg_ratio_w_stock",J47,$A$1,100)/100</f>
        <v>-6.4487236901030004E-2</v>
      </c>
      <c r="W47" s="92">
        <v>46104</v>
      </c>
      <c r="X47" s="84" t="s">
        <v>388</v>
      </c>
      <c r="Y47" s="84" t="s">
        <v>389</v>
      </c>
      <c r="Z47" s="93">
        <v>0.46339999999999998</v>
      </c>
      <c r="AA47" s="72" t="str">
        <f ca="1">[1]!thsiFinD("ths_the_sw_industry_stock",X47,100,$A$1)</f>
        <v>电子</v>
      </c>
      <c r="AC47" s="92">
        <v>46104</v>
      </c>
      <c r="AD47" s="84" t="s">
        <v>211</v>
      </c>
      <c r="AE47" s="84" t="s">
        <v>611</v>
      </c>
      <c r="AF47" s="93">
        <v>1.8240000000000001</v>
      </c>
      <c r="AG47" s="72" t="str">
        <f ca="1">[1]!thsiFinD("ths_the_sw_industry_stock",AD47,100,$A$1)</f>
        <v>电子</v>
      </c>
      <c r="AI47" s="92">
        <v>46104</v>
      </c>
      <c r="AJ47" s="84" t="s">
        <v>707</v>
      </c>
      <c r="AK47" s="84" t="s">
        <v>708</v>
      </c>
      <c r="AL47" s="93">
        <v>7.4999999999999997E-2</v>
      </c>
      <c r="AM47" s="72" t="str">
        <f ca="1">[1]!thsiFinD("ths_the_sw_industry_stock",AJ47,100,$A$1)</f>
        <v>医药生物</v>
      </c>
      <c r="AO47" s="92">
        <v>46104</v>
      </c>
      <c r="AP47" s="84" t="s">
        <v>1203</v>
      </c>
      <c r="AQ47" s="84" t="s">
        <v>193</v>
      </c>
      <c r="AR47" s="93">
        <v>0.16700000000000001</v>
      </c>
      <c r="AS47" s="72" t="str">
        <f ca="1">[1]!thsiFinD("ths_the_sw_industry_stock",AP47,100,$A$1)</f>
        <v>食品饮料</v>
      </c>
    </row>
    <row r="48" spans="2:45" ht="14.25">
      <c r="B48" s="33" t="s">
        <v>115</v>
      </c>
      <c r="C48" s="102">
        <v>0.2024</v>
      </c>
      <c r="D48" s="97"/>
      <c r="I48" s="92">
        <v>46104</v>
      </c>
      <c r="J48" s="84" t="s">
        <v>288</v>
      </c>
      <c r="K48" s="84" t="s">
        <v>289</v>
      </c>
      <c r="L48" s="93">
        <v>7.1985000000000001</v>
      </c>
      <c r="M48" s="72" t="str">
        <f ca="1">[1]!thsiFinD("ths_the_sw_industry_stock",J48,100,$A$1)</f>
        <v>通信</v>
      </c>
      <c r="N48" s="83">
        <f ca="1">[1]!thsiFinD("ths_chg_ratio_w_stock",J48,$A$1,100)/100</f>
        <v>0.21069461716113</v>
      </c>
      <c r="W48" s="92">
        <v>46104</v>
      </c>
      <c r="X48" s="84" t="s">
        <v>390</v>
      </c>
      <c r="Y48" s="84" t="s">
        <v>391</v>
      </c>
      <c r="Z48" s="93">
        <v>0.45619999999999999</v>
      </c>
      <c r="AA48" s="72" t="str">
        <f ca="1">[1]!thsiFinD("ths_the_sw_industry_stock",X48,100,$A$1)</f>
        <v>通信</v>
      </c>
      <c r="AC48" s="92">
        <v>46104</v>
      </c>
      <c r="AD48" s="84" t="s">
        <v>612</v>
      </c>
      <c r="AE48" s="84" t="s">
        <v>159</v>
      </c>
      <c r="AF48" s="93">
        <v>0.999</v>
      </c>
      <c r="AG48" s="72" t="str">
        <f ca="1">[1]!thsiFinD("ths_the_sw_industry_stock",AD48,100,$A$1)</f>
        <v>电力设备</v>
      </c>
      <c r="AI48" s="92">
        <v>46104</v>
      </c>
      <c r="AJ48" s="84" t="s">
        <v>709</v>
      </c>
      <c r="AK48" s="84" t="s">
        <v>710</v>
      </c>
      <c r="AL48" s="93">
        <v>2.3E-2</v>
      </c>
      <c r="AM48" s="72" t="str">
        <f ca="1">[1]!thsiFinD("ths_the_sw_industry_stock",AJ48,100,$A$1)</f>
        <v>交通运输</v>
      </c>
      <c r="AO48" s="92">
        <v>46104</v>
      </c>
      <c r="AP48" s="84" t="s">
        <v>1204</v>
      </c>
      <c r="AQ48" s="84" t="s">
        <v>1205</v>
      </c>
      <c r="AR48" s="93">
        <v>0.20499999999999999</v>
      </c>
      <c r="AS48" s="72" t="str">
        <f ca="1">[1]!thsiFinD("ths_the_sw_industry_stock",AP48,100,$A$1)</f>
        <v>国防军工</v>
      </c>
    </row>
    <row r="49" spans="2:45">
      <c r="B49" s="33" t="s">
        <v>143</v>
      </c>
      <c r="C49" s="102">
        <v>0.74380000000000002</v>
      </c>
      <c r="I49" s="92">
        <v>46104</v>
      </c>
      <c r="J49" s="84" t="s">
        <v>290</v>
      </c>
      <c r="K49" s="84" t="s">
        <v>291</v>
      </c>
      <c r="L49" s="93">
        <v>0.73160000000000003</v>
      </c>
      <c r="M49" s="72" t="str">
        <f ca="1">[1]!thsiFinD("ths_the_sw_industry_stock",J49,100,$A$1)</f>
        <v>通信</v>
      </c>
      <c r="N49" s="83">
        <f ca="1">[1]!thsiFinD("ths_chg_ratio_w_stock",J49,$A$1,100)/100</f>
        <v>-8.0075542965061003E-2</v>
      </c>
      <c r="W49" s="92">
        <v>46104</v>
      </c>
      <c r="X49" s="84" t="s">
        <v>392</v>
      </c>
      <c r="Y49" s="84" t="s">
        <v>393</v>
      </c>
      <c r="Z49" s="93">
        <v>2.9935999999999998</v>
      </c>
      <c r="AA49" s="72" t="str">
        <f ca="1">[1]!thsiFinD("ths_the_sw_industry_stock",X49,100,$A$1)</f>
        <v>通信</v>
      </c>
      <c r="AC49" s="92">
        <v>46104</v>
      </c>
      <c r="AD49" s="84" t="s">
        <v>613</v>
      </c>
      <c r="AE49" s="84" t="s">
        <v>614</v>
      </c>
      <c r="AF49" s="93">
        <v>1.0189999999999999</v>
      </c>
      <c r="AG49" s="72" t="str">
        <f ca="1">[1]!thsiFinD("ths_the_sw_industry_stock",AD49,100,$A$1)</f>
        <v>医药生物</v>
      </c>
      <c r="AI49" s="92">
        <v>46104</v>
      </c>
      <c r="AJ49" s="84" t="s">
        <v>711</v>
      </c>
      <c r="AK49" s="84" t="s">
        <v>712</v>
      </c>
      <c r="AL49" s="93">
        <v>7.6999999999999999E-2</v>
      </c>
      <c r="AM49" s="72" t="str">
        <f ca="1">[1]!thsiFinD("ths_the_sw_industry_stock",AJ49,100,$A$1)</f>
        <v>交通运输</v>
      </c>
      <c r="AO49" s="92">
        <v>46104</v>
      </c>
      <c r="AP49" s="84" t="s">
        <v>1206</v>
      </c>
      <c r="AQ49" s="84" t="s">
        <v>1207</v>
      </c>
      <c r="AR49" s="93">
        <v>0.20200000000000001</v>
      </c>
      <c r="AS49" s="72" t="str">
        <f ca="1">[1]!thsiFinD("ths_the_sw_industry_stock",AP49,100,$A$1)</f>
        <v>国防军工</v>
      </c>
    </row>
    <row r="50" spans="2:45">
      <c r="B50" s="33" t="s">
        <v>74</v>
      </c>
      <c r="C50" s="102">
        <v>100.4579</v>
      </c>
      <c r="I50" s="92">
        <v>46104</v>
      </c>
      <c r="J50" s="84" t="s">
        <v>292</v>
      </c>
      <c r="K50" s="84" t="s">
        <v>293</v>
      </c>
      <c r="L50" s="93">
        <v>1.409</v>
      </c>
      <c r="M50" s="72" t="str">
        <f ca="1">[1]!thsiFinD("ths_the_sw_industry_stock",J50,100,$A$1)</f>
        <v>电子</v>
      </c>
      <c r="N50" s="83">
        <f ca="1">[1]!thsiFinD("ths_chg_ratio_w_stock",J50,$A$1,100)/100</f>
        <v>-4.6698872785829E-3</v>
      </c>
      <c r="W50" s="92">
        <v>46104</v>
      </c>
      <c r="X50" s="84" t="s">
        <v>394</v>
      </c>
      <c r="Y50" s="84" t="s">
        <v>395</v>
      </c>
      <c r="Z50" s="93">
        <v>1.0425</v>
      </c>
      <c r="AA50" s="72" t="str">
        <f ca="1">[1]!thsiFinD("ths_the_sw_industry_stock",X50,100,$A$1)</f>
        <v>国防军工</v>
      </c>
      <c r="AC50" s="92">
        <v>46104</v>
      </c>
      <c r="AD50" s="84" t="s">
        <v>615</v>
      </c>
      <c r="AE50" s="84" t="s">
        <v>616</v>
      </c>
      <c r="AF50" s="93">
        <v>4.7649999999999997</v>
      </c>
      <c r="AG50" s="72" t="str">
        <f ca="1">[1]!thsiFinD("ths_the_sw_industry_stock",AD50,100,$A$1)</f>
        <v>电子</v>
      </c>
      <c r="AI50" s="92">
        <v>46104</v>
      </c>
      <c r="AJ50" s="84" t="s">
        <v>713</v>
      </c>
      <c r="AK50" s="84" t="s">
        <v>714</v>
      </c>
      <c r="AL50" s="93">
        <v>0.13900000000000001</v>
      </c>
      <c r="AM50" s="72" t="str">
        <f ca="1">[1]!thsiFinD("ths_the_sw_industry_stock",AJ50,100,$A$1)</f>
        <v>房地产</v>
      </c>
      <c r="AO50" s="92">
        <v>46104</v>
      </c>
      <c r="AP50" s="84" t="s">
        <v>1208</v>
      </c>
      <c r="AQ50" s="84" t="s">
        <v>1209</v>
      </c>
      <c r="AR50" s="93">
        <v>9.6000000000000002E-2</v>
      </c>
      <c r="AS50" s="72" t="str">
        <f ca="1">[1]!thsiFinD("ths_the_sw_industry_stock",AP50,100,$A$1)</f>
        <v>医药生物</v>
      </c>
    </row>
    <row r="51" spans="2:45" ht="14.25">
      <c r="B51" s="33"/>
      <c r="C51" s="102"/>
      <c r="D51" s="97"/>
      <c r="I51" s="92">
        <v>46104</v>
      </c>
      <c r="J51" s="84" t="s">
        <v>294</v>
      </c>
      <c r="K51" s="84" t="s">
        <v>295</v>
      </c>
      <c r="L51" s="93">
        <v>0.75460000000000005</v>
      </c>
      <c r="M51" s="72" t="str">
        <f ca="1">[1]!thsiFinD("ths_the_sw_industry_stock",J51,100,$A$1)</f>
        <v>电力设备</v>
      </c>
      <c r="N51" s="83">
        <f ca="1">[1]!thsiFinD("ths_chg_ratio_w_stock",J51,$A$1,100)/100</f>
        <v>5.4135706703682E-2</v>
      </c>
      <c r="W51" s="92">
        <v>46104</v>
      </c>
      <c r="X51" s="84" t="s">
        <v>396</v>
      </c>
      <c r="Y51" s="84" t="s">
        <v>397</v>
      </c>
      <c r="Z51" s="93">
        <v>1.4547000000000001</v>
      </c>
      <c r="AA51" s="72" t="str">
        <f ca="1">[1]!thsiFinD("ths_the_sw_industry_stock",X51,100,$A$1)</f>
        <v>电子</v>
      </c>
      <c r="AC51" s="92">
        <v>46104</v>
      </c>
      <c r="AD51" s="84" t="s">
        <v>212</v>
      </c>
      <c r="AE51" s="84" t="s">
        <v>617</v>
      </c>
      <c r="AF51" s="93">
        <v>2.5249999999999999</v>
      </c>
      <c r="AG51" s="72" t="str">
        <f ca="1">[1]!thsiFinD("ths_the_sw_industry_stock",AD51,100,$A$1)</f>
        <v>电子</v>
      </c>
      <c r="AI51" s="92">
        <v>46104</v>
      </c>
      <c r="AJ51" s="84" t="s">
        <v>715</v>
      </c>
      <c r="AK51" s="84" t="s">
        <v>716</v>
      </c>
      <c r="AL51" s="93">
        <v>0.188</v>
      </c>
      <c r="AM51" s="72" t="str">
        <f ca="1">[1]!thsiFinD("ths_the_sw_industry_stock",AJ51,100,$A$1)</f>
        <v>基础化工</v>
      </c>
      <c r="AO51" s="92">
        <v>46104</v>
      </c>
      <c r="AP51" s="84" t="s">
        <v>1210</v>
      </c>
      <c r="AQ51" s="84" t="s">
        <v>1211</v>
      </c>
      <c r="AR51" s="93">
        <v>0.17299999999999999</v>
      </c>
      <c r="AS51" s="72" t="str">
        <f ca="1">[1]!thsiFinD("ths_the_sw_industry_stock",AP51,100,$A$1)</f>
        <v>非银金融</v>
      </c>
    </row>
    <row r="52" spans="2:45" ht="14.25">
      <c r="B52" s="33"/>
      <c r="C52" s="102"/>
      <c r="D52" s="97"/>
      <c r="I52" s="92">
        <v>46104</v>
      </c>
      <c r="J52" s="84" t="s">
        <v>296</v>
      </c>
      <c r="K52" s="84" t="s">
        <v>297</v>
      </c>
      <c r="L52" s="93">
        <v>0.62609999999999999</v>
      </c>
      <c r="M52" s="72" t="str">
        <f ca="1">[1]!thsiFinD("ths_the_sw_industry_stock",J52,100,$A$1)</f>
        <v>有色金属</v>
      </c>
      <c r="N52" s="83">
        <f ca="1">[1]!thsiFinD("ths_chg_ratio_w_stock",J52,$A$1,100)/100</f>
        <v>-9.3482748451784003E-2</v>
      </c>
      <c r="W52" s="92">
        <v>46104</v>
      </c>
      <c r="X52" s="84" t="s">
        <v>398</v>
      </c>
      <c r="Y52" s="84" t="s">
        <v>399</v>
      </c>
      <c r="Z52" s="93">
        <v>0.27689999999999998</v>
      </c>
      <c r="AA52" s="72" t="str">
        <f ca="1">[1]!thsiFinD("ths_the_sw_industry_stock",X52,100,$A$1)</f>
        <v>传媒</v>
      </c>
      <c r="AC52" s="92">
        <v>46104</v>
      </c>
      <c r="AD52" s="84" t="s">
        <v>618</v>
      </c>
      <c r="AE52" s="84" t="s">
        <v>619</v>
      </c>
      <c r="AF52" s="93">
        <v>0.67200000000000004</v>
      </c>
      <c r="AG52" s="72" t="str">
        <f ca="1">[1]!thsiFinD("ths_the_sw_industry_stock",AD52,100,$A$1)</f>
        <v>电子</v>
      </c>
      <c r="AI52" s="92">
        <v>46104</v>
      </c>
      <c r="AJ52" s="84" t="s">
        <v>717</v>
      </c>
      <c r="AK52" s="84" t="s">
        <v>718</v>
      </c>
      <c r="AL52" s="93">
        <v>0.27800000000000002</v>
      </c>
      <c r="AM52" s="72" t="str">
        <f ca="1">[1]!thsiFinD("ths_the_sw_industry_stock",AJ52,100,$A$1)</f>
        <v>传媒</v>
      </c>
      <c r="AO52" s="92">
        <v>46104</v>
      </c>
      <c r="AP52" s="84" t="s">
        <v>1212</v>
      </c>
      <c r="AQ52" s="84" t="s">
        <v>1213</v>
      </c>
      <c r="AR52" s="93">
        <v>0.24199999999999999</v>
      </c>
      <c r="AS52" s="72" t="str">
        <f ca="1">[1]!thsiFinD("ths_the_sw_industry_stock",AP52,100,$A$1)</f>
        <v>非银金融</v>
      </c>
    </row>
    <row r="53" spans="2:45" ht="14.25">
      <c r="D53" s="97"/>
      <c r="I53" s="92">
        <v>46104</v>
      </c>
      <c r="J53" s="84" t="s">
        <v>298</v>
      </c>
      <c r="K53" s="84" t="s">
        <v>299</v>
      </c>
      <c r="L53" s="93">
        <v>19.721699999999998</v>
      </c>
      <c r="M53" s="72" t="str">
        <f ca="1">[1]!thsiFinD("ths_the_sw_industry_stock",J53,100,$A$1)</f>
        <v>电力设备</v>
      </c>
      <c r="N53" s="83">
        <f ca="1">[1]!thsiFinD("ths_chg_ratio_w_stock",J53,$A$1,100)/100</f>
        <v>4.0302267002519002E-2</v>
      </c>
      <c r="W53" s="92">
        <v>46104</v>
      </c>
      <c r="X53" s="84" t="s">
        <v>400</v>
      </c>
      <c r="Y53" s="84" t="s">
        <v>401</v>
      </c>
      <c r="Z53" s="93">
        <v>0.95750000000000002</v>
      </c>
      <c r="AA53" s="72" t="str">
        <f ca="1">[1]!thsiFinD("ths_the_sw_industry_stock",X53,100,$A$1)</f>
        <v>传媒</v>
      </c>
      <c r="AC53" s="92">
        <v>46104</v>
      </c>
      <c r="AD53" s="84" t="s">
        <v>620</v>
      </c>
      <c r="AE53" s="84" t="s">
        <v>621</v>
      </c>
      <c r="AF53" s="93"/>
      <c r="AG53" s="72" t="str">
        <f ca="1">[1]!thsiFinD("ths_the_sw_industry_stock",AD53,100,$A$1)</f>
        <v>计算机</v>
      </c>
      <c r="AI53" s="92">
        <v>46104</v>
      </c>
      <c r="AJ53" s="84" t="s">
        <v>719</v>
      </c>
      <c r="AK53" s="84" t="s">
        <v>720</v>
      </c>
      <c r="AL53" s="93">
        <v>0.51900000000000002</v>
      </c>
      <c r="AM53" s="72" t="str">
        <f ca="1">[1]!thsiFinD("ths_the_sw_industry_stock",AJ53,100,$A$1)</f>
        <v>电力设备</v>
      </c>
      <c r="AO53" s="92">
        <v>46104</v>
      </c>
      <c r="AP53" s="84" t="s">
        <v>1214</v>
      </c>
      <c r="AQ53" s="84" t="s">
        <v>1215</v>
      </c>
      <c r="AR53" s="93">
        <v>6.8000000000000005E-2</v>
      </c>
      <c r="AS53" s="72" t="str">
        <f ca="1">[1]!thsiFinD("ths_the_sw_industry_stock",AP53,100,$A$1)</f>
        <v>商贸零售</v>
      </c>
    </row>
    <row r="54" spans="2:45" ht="14.25">
      <c r="B54" s="32" t="s">
        <v>73</v>
      </c>
      <c r="C54" t="s">
        <v>75</v>
      </c>
      <c r="D54" s="97"/>
      <c r="I54" s="92">
        <v>46104</v>
      </c>
      <c r="J54" s="84" t="s">
        <v>300</v>
      </c>
      <c r="K54" s="84" t="s">
        <v>301</v>
      </c>
      <c r="L54" s="93">
        <v>0.62619999999999998</v>
      </c>
      <c r="M54" s="72" t="str">
        <f ca="1">[1]!thsiFinD("ths_the_sw_industry_stock",J54,100,$A$1)</f>
        <v>医药生物</v>
      </c>
      <c r="N54" s="83">
        <f ca="1">[1]!thsiFinD("ths_chg_ratio_w_stock",J54,$A$1,100)/100</f>
        <v>-5.5055775458798001E-2</v>
      </c>
      <c r="W54" s="92">
        <v>46104</v>
      </c>
      <c r="X54" s="84" t="s">
        <v>402</v>
      </c>
      <c r="Y54" s="84" t="s">
        <v>403</v>
      </c>
      <c r="Z54" s="93">
        <v>0.34139999999999998</v>
      </c>
      <c r="AA54" s="72" t="str">
        <f ca="1">[1]!thsiFinD("ths_the_sw_industry_stock",X54,100,$A$1)</f>
        <v>电力设备</v>
      </c>
      <c r="AC54" s="92">
        <v>46104</v>
      </c>
      <c r="AD54" s="84" t="s">
        <v>622</v>
      </c>
      <c r="AE54" s="84" t="s">
        <v>623</v>
      </c>
      <c r="AF54" s="93">
        <v>1.167</v>
      </c>
      <c r="AG54" s="72" t="str">
        <f ca="1">[1]!thsiFinD("ths_the_sw_industry_stock",AD54,100,$A$1)</f>
        <v>医药生物</v>
      </c>
      <c r="AI54" s="92">
        <v>46104</v>
      </c>
      <c r="AJ54" s="84" t="s">
        <v>721</v>
      </c>
      <c r="AK54" s="84" t="s">
        <v>722</v>
      </c>
      <c r="AL54" s="93">
        <v>0.21099999999999999</v>
      </c>
      <c r="AM54" s="72" t="str">
        <f ca="1">[1]!thsiFinD("ths_the_sw_industry_stock",AJ54,100,$A$1)</f>
        <v>电子</v>
      </c>
      <c r="AO54" s="92">
        <v>46104</v>
      </c>
      <c r="AP54" s="84" t="s">
        <v>1216</v>
      </c>
      <c r="AQ54" s="84" t="s">
        <v>1217</v>
      </c>
      <c r="AR54" s="93">
        <v>0.111</v>
      </c>
      <c r="AS54" s="72" t="str">
        <f ca="1">[1]!thsiFinD("ths_the_sw_industry_stock",AP54,100,$A$1)</f>
        <v>钢铁</v>
      </c>
    </row>
    <row r="55" spans="2:45" ht="14.25">
      <c r="B55" s="33" t="s">
        <v>52</v>
      </c>
      <c r="C55" s="102">
        <v>4.891</v>
      </c>
      <c r="D55" s="97"/>
      <c r="I55" s="92">
        <v>46104</v>
      </c>
      <c r="J55" s="84" t="s">
        <v>302</v>
      </c>
      <c r="K55" s="84" t="s">
        <v>303</v>
      </c>
      <c r="L55" s="93">
        <v>2.5421</v>
      </c>
      <c r="M55" s="72" t="str">
        <f ca="1">[1]!thsiFinD("ths_the_sw_industry_stock",J55,100,$A$1)</f>
        <v>医药生物</v>
      </c>
      <c r="N55" s="83">
        <f ca="1">[1]!thsiFinD("ths_chg_ratio_w_stock",J55,$A$1,100)/100</f>
        <v>-5.0680405443243003E-2</v>
      </c>
      <c r="W55" s="92">
        <v>46104</v>
      </c>
      <c r="X55" s="84" t="s">
        <v>404</v>
      </c>
      <c r="Y55" s="84" t="s">
        <v>405</v>
      </c>
      <c r="Z55" s="93">
        <v>1.2544</v>
      </c>
      <c r="AA55" s="72" t="str">
        <f ca="1">[1]!thsiFinD("ths_the_sw_industry_stock",X55,100,$A$1)</f>
        <v>电子</v>
      </c>
      <c r="AC55" s="92">
        <v>46104</v>
      </c>
      <c r="AD55" s="84" t="s">
        <v>624</v>
      </c>
      <c r="AE55" s="84" t="s">
        <v>625</v>
      </c>
      <c r="AF55" s="93">
        <v>1.2509999999999999</v>
      </c>
      <c r="AG55" s="72" t="str">
        <f ca="1">[1]!thsiFinD("ths_the_sw_industry_stock",AD55,100,$A$1)</f>
        <v>电力设备</v>
      </c>
      <c r="AI55" s="92">
        <v>46104</v>
      </c>
      <c r="AJ55" s="84" t="s">
        <v>723</v>
      </c>
      <c r="AK55" s="84" t="s">
        <v>724</v>
      </c>
      <c r="AL55" s="93">
        <v>0.44600000000000001</v>
      </c>
      <c r="AM55" s="72" t="str">
        <f ca="1">[1]!thsiFinD("ths_the_sw_industry_stock",AJ55,100,$A$1)</f>
        <v>家用电器</v>
      </c>
      <c r="AO55" s="92">
        <v>46104</v>
      </c>
      <c r="AP55" s="84" t="s">
        <v>1218</v>
      </c>
      <c r="AQ55" s="84" t="s">
        <v>1219</v>
      </c>
      <c r="AR55" s="93">
        <v>0.19600000000000001</v>
      </c>
      <c r="AS55" s="72" t="str">
        <f ca="1">[1]!thsiFinD("ths_the_sw_industry_stock",AP55,100,$A$1)</f>
        <v>基础化工</v>
      </c>
    </row>
    <row r="56" spans="2:45" ht="14.25">
      <c r="B56" s="33" t="s">
        <v>53</v>
      </c>
      <c r="C56" s="102">
        <v>71.478000000000009</v>
      </c>
      <c r="D56" s="97"/>
      <c r="I56" s="92">
        <v>46104</v>
      </c>
      <c r="J56" s="84" t="s">
        <v>304</v>
      </c>
      <c r="K56" s="84" t="s">
        <v>305</v>
      </c>
      <c r="L56" s="93">
        <v>0.41770000000000002</v>
      </c>
      <c r="M56" s="72" t="str">
        <f ca="1">[1]!thsiFinD("ths_the_sw_industry_stock",J56,100,$A$1)</f>
        <v>电力设备</v>
      </c>
      <c r="N56" s="83">
        <f ca="1">[1]!thsiFinD("ths_chg_ratio_w_stock",J56,$A$1,100)/100</f>
        <v>0.15839472663823001</v>
      </c>
      <c r="W56" s="92">
        <v>46104</v>
      </c>
      <c r="X56" s="84" t="s">
        <v>406</v>
      </c>
      <c r="Y56" s="84" t="s">
        <v>407</v>
      </c>
      <c r="Z56" s="93">
        <v>1.3013999999999999</v>
      </c>
      <c r="AA56" s="72" t="str">
        <f ca="1">[1]!thsiFinD("ths_the_sw_industry_stock",X56,100,$A$1)</f>
        <v>通信</v>
      </c>
      <c r="AC56" s="92">
        <v>46104</v>
      </c>
      <c r="AD56" s="84" t="s">
        <v>626</v>
      </c>
      <c r="AE56" s="84" t="s">
        <v>627</v>
      </c>
      <c r="AF56" s="93">
        <v>1.139</v>
      </c>
      <c r="AG56" s="72" t="str">
        <f ca="1">[1]!thsiFinD("ths_the_sw_industry_stock",AD56,100,$A$1)</f>
        <v>电子</v>
      </c>
      <c r="AI56" s="92">
        <v>46104</v>
      </c>
      <c r="AJ56" s="84" t="s">
        <v>725</v>
      </c>
      <c r="AK56" s="84" t="s">
        <v>726</v>
      </c>
      <c r="AL56" s="93">
        <v>0.16</v>
      </c>
      <c r="AM56" s="72" t="str">
        <f ca="1">[1]!thsiFinD("ths_the_sw_industry_stock",AJ56,100,$A$1)</f>
        <v>电力设备</v>
      </c>
      <c r="AO56" s="92">
        <v>46104</v>
      </c>
      <c r="AP56" s="84" t="s">
        <v>1220</v>
      </c>
      <c r="AQ56" s="84" t="s">
        <v>1221</v>
      </c>
      <c r="AR56" s="93">
        <v>0.443</v>
      </c>
      <c r="AS56" s="72" t="str">
        <f ca="1">[1]!thsiFinD("ths_the_sw_industry_stock",AP56,100,$A$1)</f>
        <v>有色金属</v>
      </c>
    </row>
    <row r="57" spans="2:45" ht="14.25">
      <c r="B57" s="33" t="s">
        <v>63</v>
      </c>
      <c r="C57" s="102">
        <v>3.5669999999999997</v>
      </c>
      <c r="D57" s="97"/>
      <c r="I57" s="92">
        <v>46104</v>
      </c>
      <c r="J57" s="84" t="s">
        <v>306</v>
      </c>
      <c r="K57" s="84" t="s">
        <v>307</v>
      </c>
      <c r="L57" s="93">
        <v>0.61939999999999995</v>
      </c>
      <c r="M57" s="72" t="str">
        <f ca="1">[1]!thsiFinD("ths_the_sw_industry_stock",J57,100,$A$1)</f>
        <v>电子</v>
      </c>
      <c r="N57" s="83">
        <f ca="1">[1]!thsiFinD("ths_chg_ratio_w_stock",J57,$A$1,100)/100</f>
        <v>0.13456464379947</v>
      </c>
      <c r="W57" s="92">
        <v>46104</v>
      </c>
      <c r="X57" s="84" t="s">
        <v>408</v>
      </c>
      <c r="Y57" s="84" t="s">
        <v>409</v>
      </c>
      <c r="Z57" s="93">
        <v>1.1053999999999999</v>
      </c>
      <c r="AA57" s="72" t="str">
        <f ca="1">[1]!thsiFinD("ths_the_sw_industry_stock",X57,100,$A$1)</f>
        <v>电力设备</v>
      </c>
      <c r="AC57" s="92">
        <v>46104</v>
      </c>
      <c r="AD57" s="84" t="s">
        <v>628</v>
      </c>
      <c r="AE57" s="84" t="s">
        <v>629</v>
      </c>
      <c r="AF57" s="93">
        <v>0.97099999999999997</v>
      </c>
      <c r="AG57" s="72" t="str">
        <f ca="1">[1]!thsiFinD("ths_the_sw_industry_stock",AD57,100,$A$1)</f>
        <v>医药生物</v>
      </c>
      <c r="AI57" s="92">
        <v>46104</v>
      </c>
      <c r="AJ57" s="84" t="s">
        <v>727</v>
      </c>
      <c r="AK57" s="84" t="s">
        <v>728</v>
      </c>
      <c r="AL57" s="93">
        <v>0.40200000000000002</v>
      </c>
      <c r="AM57" s="72" t="str">
        <f ca="1">[1]!thsiFinD("ths_the_sw_industry_stock",AJ57,100,$A$1)</f>
        <v>银行</v>
      </c>
      <c r="AO57" s="92">
        <v>46104</v>
      </c>
      <c r="AP57" s="84" t="s">
        <v>1222</v>
      </c>
      <c r="AQ57" s="84" t="s">
        <v>1223</v>
      </c>
      <c r="AR57" s="93">
        <v>0.318</v>
      </c>
      <c r="AS57" s="72" t="str">
        <f ca="1">[1]!thsiFinD("ths_the_sw_industry_stock",AP57,100,$A$1)</f>
        <v>有色金属</v>
      </c>
    </row>
    <row r="58" spans="2:45" ht="14.25">
      <c r="B58" s="33" t="s">
        <v>68</v>
      </c>
      <c r="C58" s="102">
        <v>3.7789999999999999</v>
      </c>
      <c r="D58" s="97"/>
      <c r="H58" s="72">
        <v>5</v>
      </c>
      <c r="I58" s="92">
        <v>46104</v>
      </c>
      <c r="J58" s="84" t="s">
        <v>308</v>
      </c>
      <c r="K58" s="84" t="s">
        <v>309</v>
      </c>
      <c r="L58" s="93">
        <v>0.96650000000000003</v>
      </c>
      <c r="M58" s="72" t="str">
        <f ca="1">[1]!thsiFinD("ths_the_sw_industry_stock",J58,100,$A$1)</f>
        <v>计算机</v>
      </c>
      <c r="N58" s="83">
        <f ca="1">[1]!thsiFinD("ths_chg_ratio_w_stock",J58,$A$1,100)/100</f>
        <v>-1.8107872567056999E-2</v>
      </c>
      <c r="W58" s="92">
        <v>46104</v>
      </c>
      <c r="X58" s="84" t="s">
        <v>410</v>
      </c>
      <c r="Y58" s="84" t="s">
        <v>411</v>
      </c>
      <c r="Z58" s="93">
        <v>0.57220000000000004</v>
      </c>
      <c r="AA58" s="72" t="str">
        <f ca="1">[1]!thsiFinD("ths_the_sw_industry_stock",X58,100,$A$1)</f>
        <v>计算机</v>
      </c>
      <c r="AC58" s="92">
        <v>46104</v>
      </c>
      <c r="AD58" s="84" t="s">
        <v>630</v>
      </c>
      <c r="AE58" s="84" t="s">
        <v>631</v>
      </c>
      <c r="AF58" s="93">
        <v>1.1299999999999999</v>
      </c>
      <c r="AG58" s="72" t="str">
        <f ca="1">[1]!thsiFinD("ths_the_sw_industry_stock",AD58,100,$A$1)</f>
        <v>电子</v>
      </c>
      <c r="AI58" s="92">
        <v>46104</v>
      </c>
      <c r="AJ58" s="84" t="s">
        <v>729</v>
      </c>
      <c r="AK58" s="84" t="s">
        <v>730</v>
      </c>
      <c r="AL58" s="93">
        <v>0.17599999999999999</v>
      </c>
      <c r="AM58" s="72" t="str">
        <f ca="1">[1]!thsiFinD("ths_the_sw_industry_stock",AJ58,100,$A$1)</f>
        <v>国防军工</v>
      </c>
      <c r="AO58" s="92">
        <v>46104</v>
      </c>
      <c r="AP58" s="84" t="s">
        <v>1224</v>
      </c>
      <c r="AQ58" s="84" t="s">
        <v>1225</v>
      </c>
      <c r="AR58" s="93">
        <v>9.2999999999999999E-2</v>
      </c>
      <c r="AS58" s="72" t="str">
        <f ca="1">[1]!thsiFinD("ths_the_sw_industry_stock",AP58,100,$A$1)</f>
        <v>公用事业</v>
      </c>
    </row>
    <row r="59" spans="2:45" ht="14.25">
      <c r="B59" s="33" t="s">
        <v>109</v>
      </c>
      <c r="C59" s="102">
        <v>0.91900000000000004</v>
      </c>
      <c r="D59" s="97"/>
      <c r="H59" s="72">
        <v>4</v>
      </c>
      <c r="I59" s="92">
        <v>46104</v>
      </c>
      <c r="J59" s="84" t="s">
        <v>310</v>
      </c>
      <c r="K59" s="84" t="s">
        <v>311</v>
      </c>
      <c r="L59" s="93">
        <v>1.3466</v>
      </c>
      <c r="M59" s="72" t="str">
        <f ca="1">[1]!thsiFinD("ths_the_sw_industry_stock",J59,100,$A$1)</f>
        <v>电子</v>
      </c>
      <c r="N59" s="83">
        <f ca="1">[1]!thsiFinD("ths_chg_ratio_w_stock",J59,$A$1,100)/100</f>
        <v>-0.11446342744053001</v>
      </c>
      <c r="W59" s="92">
        <v>46104</v>
      </c>
      <c r="X59" s="84" t="s">
        <v>412</v>
      </c>
      <c r="Y59" s="84" t="s">
        <v>413</v>
      </c>
      <c r="Z59" s="93">
        <v>0.46550000000000002</v>
      </c>
      <c r="AA59" s="72" t="str">
        <f ca="1">[1]!thsiFinD("ths_the_sw_industry_stock",X59,100,$A$1)</f>
        <v>电子</v>
      </c>
      <c r="AC59" s="92">
        <v>46104</v>
      </c>
      <c r="AD59" s="84" t="s">
        <v>632</v>
      </c>
      <c r="AE59" s="84" t="s">
        <v>633</v>
      </c>
      <c r="AF59" s="93">
        <v>0.61399999999999999</v>
      </c>
      <c r="AG59" s="72" t="str">
        <f ca="1">[1]!thsiFinD("ths_the_sw_industry_stock",AD59,100,$A$1)</f>
        <v>电子</v>
      </c>
      <c r="AI59" s="92">
        <v>46104</v>
      </c>
      <c r="AJ59" s="84" t="s">
        <v>731</v>
      </c>
      <c r="AK59" s="84" t="s">
        <v>732</v>
      </c>
      <c r="AL59" s="93">
        <v>0.502</v>
      </c>
      <c r="AM59" s="72" t="str">
        <f ca="1">[1]!thsiFinD("ths_the_sw_industry_stock",AJ59,100,$A$1)</f>
        <v>计算机</v>
      </c>
      <c r="AO59" s="92">
        <v>46104</v>
      </c>
      <c r="AP59" s="84" t="s">
        <v>1226</v>
      </c>
      <c r="AQ59" s="84" t="s">
        <v>194</v>
      </c>
      <c r="AR59" s="93">
        <v>0.158</v>
      </c>
      <c r="AS59" s="72" t="str">
        <f ca="1">[1]!thsiFinD("ths_the_sw_industry_stock",AP59,100,$A$1)</f>
        <v>汽车</v>
      </c>
    </row>
    <row r="60" spans="2:45" ht="14.25">
      <c r="B60" s="33" t="s">
        <v>54</v>
      </c>
      <c r="C60" s="102">
        <v>4.2859999999999996</v>
      </c>
      <c r="D60" s="97"/>
      <c r="H60" s="72">
        <v>3</v>
      </c>
      <c r="I60" s="92">
        <v>46104</v>
      </c>
      <c r="J60" s="84" t="s">
        <v>312</v>
      </c>
      <c r="K60" s="84" t="s">
        <v>313</v>
      </c>
      <c r="L60" s="93">
        <v>0.68169999999999997</v>
      </c>
      <c r="M60" s="72" t="str">
        <f ca="1">[1]!thsiFinD("ths_the_sw_industry_stock",J60,100,$A$1)</f>
        <v>计算机</v>
      </c>
      <c r="N60" s="83">
        <f ca="1">[1]!thsiFinD("ths_chg_ratio_w_stock",J60,$A$1,100)/100</f>
        <v>-0.13318729463307999</v>
      </c>
      <c r="W60" s="92">
        <v>46104</v>
      </c>
      <c r="X60" s="84" t="s">
        <v>414</v>
      </c>
      <c r="Y60" s="84" t="s">
        <v>415</v>
      </c>
      <c r="Z60" s="93">
        <v>0.45440000000000003</v>
      </c>
      <c r="AA60" s="72" t="str">
        <f ca="1">[1]!thsiFinD("ths_the_sw_industry_stock",X60,100,$A$1)</f>
        <v>国防军工</v>
      </c>
      <c r="AC60" s="92">
        <v>46104</v>
      </c>
      <c r="AD60" s="84" t="s">
        <v>634</v>
      </c>
      <c r="AE60" s="84" t="s">
        <v>635</v>
      </c>
      <c r="AF60" s="93">
        <v>2.367</v>
      </c>
      <c r="AG60" s="72" t="str">
        <f ca="1">[1]!thsiFinD("ths_the_sw_industry_stock",AD60,100,$A$1)</f>
        <v>机械设备</v>
      </c>
      <c r="AI60" s="92">
        <v>46104</v>
      </c>
      <c r="AJ60" s="84" t="s">
        <v>733</v>
      </c>
      <c r="AK60" s="84" t="s">
        <v>734</v>
      </c>
      <c r="AL60" s="93">
        <v>0.14799999999999999</v>
      </c>
      <c r="AM60" s="72" t="str">
        <f ca="1">[1]!thsiFinD("ths_the_sw_industry_stock",AJ60,100,$A$1)</f>
        <v>计算机</v>
      </c>
      <c r="AO60" s="92">
        <v>46104</v>
      </c>
      <c r="AP60" s="84" t="s">
        <v>1227</v>
      </c>
      <c r="AQ60" s="84" t="s">
        <v>1228</v>
      </c>
      <c r="AR60" s="93">
        <v>0.28699999999999998</v>
      </c>
      <c r="AS60" s="72" t="str">
        <f ca="1">[1]!thsiFinD("ths_the_sw_industry_stock",AP60,100,$A$1)</f>
        <v>基础化工</v>
      </c>
    </row>
    <row r="61" spans="2:45" ht="14.25">
      <c r="B61" s="33" t="s">
        <v>114</v>
      </c>
      <c r="C61" s="102">
        <v>1.383</v>
      </c>
      <c r="D61" s="97"/>
      <c r="H61" s="72">
        <v>2</v>
      </c>
      <c r="I61" s="92">
        <v>46104</v>
      </c>
      <c r="J61" s="84" t="s">
        <v>314</v>
      </c>
      <c r="K61" s="84" t="s">
        <v>315</v>
      </c>
      <c r="L61" s="93">
        <v>1.0528</v>
      </c>
      <c r="M61" s="72" t="str">
        <f ca="1">[1]!thsiFinD("ths_the_sw_industry_stock",J61,100,$A$1)</f>
        <v>电子</v>
      </c>
      <c r="N61" s="83">
        <f ca="1">[1]!thsiFinD("ths_chg_ratio_w_stock",J61,$A$1,100)/100</f>
        <v>1.2048931538768E-2</v>
      </c>
      <c r="W61" s="92">
        <v>46104</v>
      </c>
      <c r="X61" s="84" t="s">
        <v>416</v>
      </c>
      <c r="Y61" s="84" t="s">
        <v>417</v>
      </c>
      <c r="Z61" s="93">
        <v>3.4087000000000001</v>
      </c>
      <c r="AA61" s="72" t="str">
        <f ca="1">[1]!thsiFinD("ths_the_sw_industry_stock",X61,100,$A$1)</f>
        <v>电子</v>
      </c>
      <c r="AC61" s="92">
        <v>46104</v>
      </c>
      <c r="AD61" s="84" t="s">
        <v>636</v>
      </c>
      <c r="AE61" s="84" t="s">
        <v>637</v>
      </c>
      <c r="AF61" s="93">
        <v>8.8689999999999998</v>
      </c>
      <c r="AG61" s="72" t="str">
        <f ca="1">[1]!thsiFinD("ths_the_sw_industry_stock",AD61,100,$A$1)</f>
        <v>电子</v>
      </c>
      <c r="AI61" s="92">
        <v>46104</v>
      </c>
      <c r="AJ61" s="84" t="s">
        <v>735</v>
      </c>
      <c r="AK61" s="84" t="s">
        <v>736</v>
      </c>
      <c r="AL61" s="93">
        <v>0.26200000000000001</v>
      </c>
      <c r="AM61" s="72" t="str">
        <f ca="1">[1]!thsiFinD("ths_the_sw_industry_stock",AJ61,100,$A$1)</f>
        <v>电子</v>
      </c>
      <c r="AO61" s="92">
        <v>46104</v>
      </c>
      <c r="AP61" s="84" t="s">
        <v>1229</v>
      </c>
      <c r="AQ61" s="84" t="s">
        <v>1230</v>
      </c>
      <c r="AR61" s="93">
        <v>5.8999999999999997E-2</v>
      </c>
      <c r="AS61" s="72" t="str">
        <f ca="1">[1]!thsiFinD("ths_the_sw_industry_stock",AP61,100,$A$1)</f>
        <v>钢铁</v>
      </c>
    </row>
    <row r="62" spans="2:45" ht="14.25">
      <c r="B62" s="33" t="s">
        <v>115</v>
      </c>
      <c r="C62" s="102">
        <v>1.3620000000000001</v>
      </c>
      <c r="D62" s="97"/>
      <c r="H62" s="72">
        <v>1</v>
      </c>
      <c r="I62" s="92">
        <v>46104</v>
      </c>
      <c r="J62" s="84" t="s">
        <v>316</v>
      </c>
      <c r="K62" s="84" t="s">
        <v>317</v>
      </c>
      <c r="L62" s="93">
        <v>0.496</v>
      </c>
      <c r="M62" s="72" t="str">
        <f ca="1">[1]!thsiFinD("ths_the_sw_industry_stock",J62,100,$A$1)</f>
        <v>国防军工</v>
      </c>
      <c r="N62" s="83">
        <f ca="1">[1]!thsiFinD("ths_chg_ratio_w_stock",J62,$A$1,100)/100</f>
        <v>-6.8605927552140997E-2</v>
      </c>
      <c r="W62" s="92">
        <v>46104</v>
      </c>
      <c r="X62" s="84" t="s">
        <v>418</v>
      </c>
      <c r="Y62" s="84" t="s">
        <v>419</v>
      </c>
      <c r="Z62" s="93">
        <v>0.34339999999999998</v>
      </c>
      <c r="AA62" s="72" t="str">
        <f ca="1">[1]!thsiFinD("ths_the_sw_industry_stock",X62,100,$A$1)</f>
        <v>基础化工</v>
      </c>
      <c r="AC62" s="92">
        <v>46104</v>
      </c>
      <c r="AD62" s="84" t="s">
        <v>638</v>
      </c>
      <c r="AE62" s="84" t="s">
        <v>639</v>
      </c>
      <c r="AF62" s="93">
        <v>1.3620000000000001</v>
      </c>
      <c r="AG62" s="72" t="str">
        <f ca="1">[1]!thsiFinD("ths_the_sw_industry_stock",AD62,100,$A$1)</f>
        <v>汽车</v>
      </c>
      <c r="AI62" s="92">
        <v>46104</v>
      </c>
      <c r="AJ62" s="84" t="s">
        <v>737</v>
      </c>
      <c r="AK62" s="84" t="s">
        <v>738</v>
      </c>
      <c r="AL62" s="93">
        <v>0.13</v>
      </c>
      <c r="AM62" s="72" t="str">
        <f ca="1">[1]!thsiFinD("ths_the_sw_industry_stock",AJ62,100,$A$1)</f>
        <v>医药生物</v>
      </c>
      <c r="AO62" s="92">
        <v>46104</v>
      </c>
      <c r="AP62" s="84" t="s">
        <v>1231</v>
      </c>
      <c r="AQ62" s="84" t="s">
        <v>1232</v>
      </c>
      <c r="AR62" s="93">
        <v>0.10100000000000001</v>
      </c>
      <c r="AS62" s="72" t="str">
        <f ca="1">[1]!thsiFinD("ths_the_sw_industry_stock",AP62,100,$A$1)</f>
        <v>家用电器</v>
      </c>
    </row>
    <row r="63" spans="2:45" ht="14.25">
      <c r="B63" s="33" t="s">
        <v>64</v>
      </c>
      <c r="C63" s="102">
        <v>8.3339999999999996</v>
      </c>
      <c r="D63" s="97"/>
      <c r="W63" s="92">
        <v>46104</v>
      </c>
      <c r="X63" s="84" t="s">
        <v>420</v>
      </c>
      <c r="Y63" s="84" t="s">
        <v>421</v>
      </c>
      <c r="Z63" s="93">
        <v>0.46970000000000001</v>
      </c>
      <c r="AA63" s="72" t="str">
        <f ca="1">[1]!thsiFinD("ths_the_sw_industry_stock",X63,100,$A$1)</f>
        <v>计算机</v>
      </c>
      <c r="AI63" s="92">
        <v>46104</v>
      </c>
      <c r="AJ63" s="84" t="s">
        <v>739</v>
      </c>
      <c r="AK63" s="84" t="s">
        <v>740</v>
      </c>
      <c r="AL63" s="93">
        <v>0.125</v>
      </c>
      <c r="AM63" s="72" t="str">
        <f ca="1">[1]!thsiFinD("ths_the_sw_industry_stock",AJ63,100,$A$1)</f>
        <v>食品饮料</v>
      </c>
      <c r="AO63" s="92">
        <v>46104</v>
      </c>
      <c r="AP63" s="84" t="s">
        <v>1233</v>
      </c>
      <c r="AQ63" s="84" t="s">
        <v>1234</v>
      </c>
      <c r="AR63" s="93">
        <v>0.21299999999999999</v>
      </c>
      <c r="AS63" s="72" t="str">
        <f ca="1">[1]!thsiFinD("ths_the_sw_industry_stock",AP63,100,$A$1)</f>
        <v>钢铁</v>
      </c>
    </row>
    <row r="64" spans="2:45" ht="14.25">
      <c r="B64" s="33" t="s">
        <v>74</v>
      </c>
      <c r="C64" s="102">
        <v>99.998999999999995</v>
      </c>
      <c r="D64" s="97"/>
      <c r="W64" s="92">
        <v>46104</v>
      </c>
      <c r="X64" s="84" t="s">
        <v>422</v>
      </c>
      <c r="Y64" s="84" t="s">
        <v>423</v>
      </c>
      <c r="Z64" s="93">
        <v>1.6319999999999999</v>
      </c>
      <c r="AA64" s="72" t="str">
        <f ca="1">[1]!thsiFinD("ths_the_sw_industry_stock",X64,100,$A$1)</f>
        <v>农林牧渔</v>
      </c>
      <c r="AI64" s="92">
        <v>46104</v>
      </c>
      <c r="AJ64" s="84" t="s">
        <v>741</v>
      </c>
      <c r="AK64" s="84" t="s">
        <v>742</v>
      </c>
      <c r="AL64" s="93">
        <v>0.17699999999999999</v>
      </c>
      <c r="AM64" s="72" t="str">
        <f ca="1">[1]!thsiFinD("ths_the_sw_industry_stock",AJ64,100,$A$1)</f>
        <v>农林牧渔</v>
      </c>
      <c r="AO64" s="92">
        <v>46104</v>
      </c>
      <c r="AP64" s="84" t="s">
        <v>1235</v>
      </c>
      <c r="AQ64" s="84" t="s">
        <v>1236</v>
      </c>
      <c r="AR64" s="93">
        <v>0.46899999999999997</v>
      </c>
      <c r="AS64" s="72" t="str">
        <f ca="1">[1]!thsiFinD("ths_the_sw_industry_stock",AP64,100,$A$1)</f>
        <v>有色金属</v>
      </c>
    </row>
    <row r="65" spans="2:45" ht="14.25">
      <c r="B65"/>
      <c r="C65"/>
      <c r="D65" s="97"/>
      <c r="W65" s="92">
        <v>46104</v>
      </c>
      <c r="X65" s="84" t="s">
        <v>424</v>
      </c>
      <c r="Y65" s="84" t="s">
        <v>425</v>
      </c>
      <c r="Z65" s="93">
        <v>5.8966000000000003</v>
      </c>
      <c r="AA65" s="72" t="str">
        <f ca="1">[1]!thsiFinD("ths_the_sw_industry_stock",X65,100,$A$1)</f>
        <v>通信</v>
      </c>
      <c r="AI65" s="92">
        <v>46104</v>
      </c>
      <c r="AJ65" s="84" t="s">
        <v>743</v>
      </c>
      <c r="AK65" s="84" t="s">
        <v>744</v>
      </c>
      <c r="AL65" s="93">
        <v>0.35399999999999998</v>
      </c>
      <c r="AM65" s="72" t="str">
        <f ca="1">[1]!thsiFinD("ths_the_sw_industry_stock",AJ65,100,$A$1)</f>
        <v>交通运输</v>
      </c>
      <c r="AO65" s="92">
        <v>46104</v>
      </c>
      <c r="AP65" s="84" t="s">
        <v>1237</v>
      </c>
      <c r="AQ65" s="84" t="s">
        <v>195</v>
      </c>
      <c r="AR65" s="93">
        <v>5.6000000000000001E-2</v>
      </c>
      <c r="AS65" s="72" t="str">
        <f ca="1">[1]!thsiFinD("ths_the_sw_industry_stock",AP65,100,$A$1)</f>
        <v>煤炭</v>
      </c>
    </row>
    <row r="66" spans="2:45" ht="14.25">
      <c r="B66" s="98"/>
      <c r="C66" s="99"/>
      <c r="D66" s="97"/>
      <c r="W66" s="92">
        <v>46104</v>
      </c>
      <c r="X66" s="84" t="s">
        <v>426</v>
      </c>
      <c r="Y66" s="100" t="s">
        <v>427</v>
      </c>
      <c r="Z66" s="93">
        <v>0.15479999999999999</v>
      </c>
      <c r="AA66" s="72" t="str">
        <f ca="1">[1]!thsiFinD("ths_the_sw_industry_stock",X66,100,$A$1)</f>
        <v>医药生物</v>
      </c>
      <c r="AI66" s="92">
        <v>46104</v>
      </c>
      <c r="AJ66" s="84" t="s">
        <v>745</v>
      </c>
      <c r="AK66" s="84" t="s">
        <v>746</v>
      </c>
      <c r="AL66" s="93">
        <v>0.79500000000000004</v>
      </c>
      <c r="AM66" s="72" t="str">
        <f ca="1">[1]!thsiFinD("ths_the_sw_industry_stock",AJ66,100,$A$1)</f>
        <v>电子</v>
      </c>
      <c r="AO66" s="92">
        <v>46104</v>
      </c>
      <c r="AP66" s="84" t="s">
        <v>1238</v>
      </c>
      <c r="AQ66" s="84" t="s">
        <v>1239</v>
      </c>
      <c r="AR66" s="93">
        <v>0.111</v>
      </c>
      <c r="AS66" s="72" t="str">
        <f ca="1">[1]!thsiFinD("ths_the_sw_industry_stock",AP66,100,$A$1)</f>
        <v>汽车</v>
      </c>
    </row>
    <row r="67" spans="2:45" ht="14.25">
      <c r="B67" s="98"/>
      <c r="C67" s="99"/>
      <c r="D67" s="97"/>
      <c r="W67" s="92">
        <v>46104</v>
      </c>
      <c r="X67" s="84" t="s">
        <v>428</v>
      </c>
      <c r="Y67" s="84" t="s">
        <v>429</v>
      </c>
      <c r="Z67" s="93">
        <v>0.59930000000000005</v>
      </c>
      <c r="AA67" s="72" t="str">
        <f ca="1">[1]!thsiFinD("ths_the_sw_industry_stock",X67,100,$A$1)</f>
        <v>通信</v>
      </c>
      <c r="AI67" s="92">
        <v>46104</v>
      </c>
      <c r="AJ67" s="84" t="s">
        <v>747</v>
      </c>
      <c r="AK67" s="84" t="s">
        <v>748</v>
      </c>
      <c r="AL67" s="93">
        <v>0.42699999999999999</v>
      </c>
      <c r="AM67" s="72" t="str">
        <f ca="1">[1]!thsiFinD("ths_the_sw_industry_stock",AJ67,100,$A$1)</f>
        <v>电子</v>
      </c>
      <c r="AO67" s="92">
        <v>46104</v>
      </c>
      <c r="AP67" s="84" t="s">
        <v>1240</v>
      </c>
      <c r="AQ67" s="84" t="s">
        <v>1241</v>
      </c>
      <c r="AR67" s="93">
        <v>9.5000000000000001E-2</v>
      </c>
      <c r="AS67" s="72" t="str">
        <f ca="1">[1]!thsiFinD("ths_the_sw_industry_stock",AP67,100,$A$1)</f>
        <v>非银金融</v>
      </c>
    </row>
    <row r="68" spans="2:45" ht="14.25">
      <c r="B68" s="98"/>
      <c r="C68" s="99"/>
      <c r="D68" s="97"/>
      <c r="W68" s="92">
        <v>46104</v>
      </c>
      <c r="X68" s="84" t="s">
        <v>430</v>
      </c>
      <c r="Y68" s="84" t="s">
        <v>431</v>
      </c>
      <c r="Z68" s="93">
        <v>0.2157</v>
      </c>
      <c r="AA68" s="72" t="str">
        <f ca="1">[1]!thsiFinD("ths_the_sw_industry_stock",X68,100,$A$1)</f>
        <v>医药生物</v>
      </c>
      <c r="AI68" s="92">
        <v>46104</v>
      </c>
      <c r="AJ68" s="84" t="s">
        <v>749</v>
      </c>
      <c r="AK68" s="84" t="s">
        <v>750</v>
      </c>
      <c r="AL68" s="93">
        <v>0.44800000000000001</v>
      </c>
      <c r="AM68" s="72" t="str">
        <f ca="1">[1]!thsiFinD("ths_the_sw_industry_stock",AJ68,100,$A$1)</f>
        <v>计算机</v>
      </c>
      <c r="AO68" s="92">
        <v>46104</v>
      </c>
      <c r="AP68" s="84" t="s">
        <v>1242</v>
      </c>
      <c r="AQ68" s="84" t="s">
        <v>1243</v>
      </c>
      <c r="AR68" s="93">
        <v>8.1000000000000003E-2</v>
      </c>
      <c r="AS68" s="72" t="str">
        <f ca="1">[1]!thsiFinD("ths_the_sw_industry_stock",AP68,100,$A$1)</f>
        <v>钢铁</v>
      </c>
    </row>
    <row r="69" spans="2:45" ht="14.25">
      <c r="B69" s="98"/>
      <c r="C69" s="99"/>
      <c r="D69" s="97"/>
      <c r="W69" s="92">
        <v>46104</v>
      </c>
      <c r="X69" s="84" t="s">
        <v>432</v>
      </c>
      <c r="Y69" s="84" t="s">
        <v>433</v>
      </c>
      <c r="Z69" s="93">
        <v>0.54359999999999997</v>
      </c>
      <c r="AA69" s="72" t="str">
        <f ca="1">[1]!thsiFinD("ths_the_sw_industry_stock",X69,100,$A$1)</f>
        <v>机械设备</v>
      </c>
      <c r="AI69" s="92">
        <v>46104</v>
      </c>
      <c r="AJ69" s="84" t="s">
        <v>751</v>
      </c>
      <c r="AK69" s="84" t="s">
        <v>752</v>
      </c>
      <c r="AL69" s="93">
        <v>0.13300000000000001</v>
      </c>
      <c r="AM69" s="72" t="str">
        <f ca="1">[1]!thsiFinD("ths_the_sw_industry_stock",AJ69,100,$A$1)</f>
        <v>医药生物</v>
      </c>
      <c r="AO69" s="92">
        <v>46104</v>
      </c>
      <c r="AP69" s="84" t="s">
        <v>1244</v>
      </c>
      <c r="AQ69" s="84" t="s">
        <v>1245</v>
      </c>
      <c r="AR69" s="93">
        <v>0.40200000000000002</v>
      </c>
      <c r="AS69" s="72" t="str">
        <f ca="1">[1]!thsiFinD("ths_the_sw_industry_stock",AP69,100,$A$1)</f>
        <v>有色金属</v>
      </c>
    </row>
    <row r="70" spans="2:45" ht="14.25">
      <c r="B70" s="98"/>
      <c r="C70" s="99"/>
      <c r="D70" s="97"/>
      <c r="W70" s="92">
        <v>46104</v>
      </c>
      <c r="X70" s="84" t="s">
        <v>434</v>
      </c>
      <c r="Y70" s="84" t="s">
        <v>435</v>
      </c>
      <c r="Z70" s="93">
        <v>0.17829999999999999</v>
      </c>
      <c r="AA70" s="72" t="str">
        <f ca="1">[1]!thsiFinD("ths_the_sw_industry_stock",X70,100,$A$1)</f>
        <v>医药生物</v>
      </c>
      <c r="AI70" s="92">
        <v>46104</v>
      </c>
      <c r="AJ70" s="84" t="s">
        <v>753</v>
      </c>
      <c r="AK70" s="84" t="s">
        <v>754</v>
      </c>
      <c r="AL70" s="93">
        <v>9.2999999999999999E-2</v>
      </c>
      <c r="AM70" s="72" t="str">
        <f ca="1">[1]!thsiFinD("ths_the_sw_industry_stock",AJ70,100,$A$1)</f>
        <v>电力设备</v>
      </c>
      <c r="AO70" s="92">
        <v>46104</v>
      </c>
      <c r="AP70" s="84" t="s">
        <v>1246</v>
      </c>
      <c r="AQ70" s="84" t="s">
        <v>1247</v>
      </c>
      <c r="AR70" s="93">
        <v>9.7000000000000003E-2</v>
      </c>
      <c r="AS70" s="72" t="str">
        <f ca="1">[1]!thsiFinD("ths_the_sw_industry_stock",AP70,100,$A$1)</f>
        <v>环保</v>
      </c>
    </row>
    <row r="71" spans="2:45" ht="14.25">
      <c r="B71" s="98"/>
      <c r="C71" s="99"/>
      <c r="D71" s="97"/>
      <c r="W71" s="92">
        <v>46104</v>
      </c>
      <c r="X71" s="84" t="s">
        <v>436</v>
      </c>
      <c r="Y71" s="84" t="s">
        <v>437</v>
      </c>
      <c r="Z71" s="93">
        <v>1.1541999999999999</v>
      </c>
      <c r="AA71" s="72" t="str">
        <f ca="1">[1]!thsiFinD("ths_the_sw_industry_stock",X71,100,$A$1)</f>
        <v>电子</v>
      </c>
      <c r="AI71" s="92">
        <v>46104</v>
      </c>
      <c r="AJ71" s="84" t="s">
        <v>755</v>
      </c>
      <c r="AK71" s="84" t="s">
        <v>756</v>
      </c>
      <c r="AL71" s="93">
        <v>0.32100000000000001</v>
      </c>
      <c r="AM71" s="72" t="str">
        <f ca="1">[1]!thsiFinD("ths_the_sw_industry_stock",AJ71,100,$A$1)</f>
        <v>有色金属</v>
      </c>
      <c r="AO71" s="92">
        <v>46104</v>
      </c>
      <c r="AP71" s="84" t="s">
        <v>1248</v>
      </c>
      <c r="AQ71" s="84" t="s">
        <v>196</v>
      </c>
      <c r="AR71" s="93">
        <v>0.13300000000000001</v>
      </c>
      <c r="AS71" s="72" t="str">
        <f ca="1">[1]!thsiFinD("ths_the_sw_industry_stock",AP71,100,$A$1)</f>
        <v>非银金融</v>
      </c>
    </row>
    <row r="72" spans="2:45" ht="14.25">
      <c r="B72" s="97"/>
      <c r="C72" s="97"/>
      <c r="D72" s="97"/>
      <c r="W72" s="92">
        <v>46104</v>
      </c>
      <c r="X72" s="84" t="s">
        <v>438</v>
      </c>
      <c r="Y72" s="84" t="s">
        <v>439</v>
      </c>
      <c r="Z72" s="93">
        <v>0.34720000000000001</v>
      </c>
      <c r="AA72" s="72" t="str">
        <f ca="1">[1]!thsiFinD("ths_the_sw_industry_stock",X72,100,$A$1)</f>
        <v>通信</v>
      </c>
      <c r="AI72" s="92">
        <v>46104</v>
      </c>
      <c r="AJ72" s="84" t="s">
        <v>757</v>
      </c>
      <c r="AK72" s="84" t="s">
        <v>758</v>
      </c>
      <c r="AL72" s="93">
        <v>0.438</v>
      </c>
      <c r="AM72" s="72" t="str">
        <f ca="1">[1]!thsiFinD("ths_the_sw_industry_stock",AJ72,100,$A$1)</f>
        <v>电子</v>
      </c>
      <c r="AO72" s="92">
        <v>46104</v>
      </c>
      <c r="AP72" s="84" t="s">
        <v>1249</v>
      </c>
      <c r="AQ72" s="84" t="s">
        <v>1250</v>
      </c>
      <c r="AR72" s="93">
        <v>0.16400000000000001</v>
      </c>
      <c r="AS72" s="72" t="str">
        <f ca="1">[1]!thsiFinD("ths_the_sw_industry_stock",AP72,100,$A$1)</f>
        <v>计算机</v>
      </c>
    </row>
    <row r="73" spans="2:45" ht="14.25">
      <c r="B73" s="32" t="s">
        <v>73</v>
      </c>
      <c r="C73" t="s">
        <v>75</v>
      </c>
      <c r="D73" s="97"/>
      <c r="W73" s="92">
        <v>46104</v>
      </c>
      <c r="X73" s="84" t="s">
        <v>440</v>
      </c>
      <c r="Y73" s="84" t="s">
        <v>441</v>
      </c>
      <c r="Z73" s="93">
        <v>0.32779999999999998</v>
      </c>
      <c r="AA73" s="72" t="str">
        <f ca="1">[1]!thsiFinD("ths_the_sw_industry_stock",X73,100,$A$1)</f>
        <v>通信</v>
      </c>
      <c r="AI73" s="92">
        <v>46104</v>
      </c>
      <c r="AJ73" s="84" t="s">
        <v>759</v>
      </c>
      <c r="AK73" s="84" t="s">
        <v>760</v>
      </c>
      <c r="AL73" s="93">
        <v>0.22800000000000001</v>
      </c>
      <c r="AM73" s="72" t="str">
        <f ca="1">[1]!thsiFinD("ths_the_sw_industry_stock",AJ73,100,$A$1)</f>
        <v>有色金属</v>
      </c>
      <c r="AO73" s="92">
        <v>46104</v>
      </c>
      <c r="AP73" s="84" t="s">
        <v>1251</v>
      </c>
      <c r="AQ73" s="84" t="s">
        <v>1252</v>
      </c>
      <c r="AR73" s="93">
        <v>3.4000000000000002E-2</v>
      </c>
      <c r="AS73" s="72" t="str">
        <f ca="1">[1]!thsiFinD("ths_the_sw_industry_stock",AP73,100,$A$1)</f>
        <v>交通运输</v>
      </c>
    </row>
    <row r="74" spans="2:45" ht="14.25">
      <c r="B74" s="33" t="s">
        <v>55</v>
      </c>
      <c r="C74" s="102">
        <v>0.66900000000000004</v>
      </c>
      <c r="D74" s="97"/>
      <c r="W74" s="92">
        <v>46104</v>
      </c>
      <c r="X74" s="84" t="s">
        <v>442</v>
      </c>
      <c r="Y74" s="84" t="s">
        <v>443</v>
      </c>
      <c r="Z74" s="93">
        <v>0.50770000000000004</v>
      </c>
      <c r="AA74" s="72" t="str">
        <f ca="1">[1]!thsiFinD("ths_the_sw_industry_stock",X74,100,$A$1)</f>
        <v>电子</v>
      </c>
      <c r="AI74" s="92">
        <v>46104</v>
      </c>
      <c r="AJ74" s="84" t="s">
        <v>761</v>
      </c>
      <c r="AK74" s="84" t="s">
        <v>762</v>
      </c>
      <c r="AL74" s="93">
        <v>0.996</v>
      </c>
      <c r="AM74" s="72" t="str">
        <f ca="1">[1]!thsiFinD("ths_the_sw_industry_stock",AJ74,100,$A$1)</f>
        <v>电子</v>
      </c>
      <c r="AO74" s="92">
        <v>46104</v>
      </c>
      <c r="AP74" s="84" t="s">
        <v>1253</v>
      </c>
      <c r="AQ74" s="84" t="s">
        <v>1254</v>
      </c>
      <c r="AR74" s="93">
        <v>2.3E-2</v>
      </c>
      <c r="AS74" s="72" t="str">
        <f ca="1">[1]!thsiFinD("ths_the_sw_industry_stock",AP74,100,$A$1)</f>
        <v>轻工制造</v>
      </c>
    </row>
    <row r="75" spans="2:45" ht="14.25">
      <c r="B75" s="33" t="s">
        <v>52</v>
      </c>
      <c r="C75" s="102">
        <v>8.2980000000000018</v>
      </c>
      <c r="D75" s="97"/>
      <c r="W75" s="92">
        <v>46104</v>
      </c>
      <c r="X75" s="84" t="s">
        <v>444</v>
      </c>
      <c r="Y75" s="84" t="s">
        <v>445</v>
      </c>
      <c r="Z75" s="93">
        <v>0.61650000000000005</v>
      </c>
      <c r="AA75" s="72" t="str">
        <f ca="1">[1]!thsiFinD("ths_the_sw_industry_stock",X75,100,$A$1)</f>
        <v>电子</v>
      </c>
      <c r="AI75" s="92">
        <v>46104</v>
      </c>
      <c r="AJ75" s="84" t="s">
        <v>763</v>
      </c>
      <c r="AK75" s="84" t="s">
        <v>764</v>
      </c>
      <c r="AL75" s="93">
        <v>0.182</v>
      </c>
      <c r="AM75" s="72" t="str">
        <f ca="1">[1]!thsiFinD("ths_the_sw_industry_stock",AJ75,100,$A$1)</f>
        <v>石油石化</v>
      </c>
      <c r="AO75" s="92">
        <v>46104</v>
      </c>
      <c r="AP75" s="84" t="s">
        <v>1255</v>
      </c>
      <c r="AQ75" s="84" t="s">
        <v>1256</v>
      </c>
      <c r="AR75" s="93">
        <v>7.2999999999999995E-2</v>
      </c>
      <c r="AS75" s="72" t="str">
        <f ca="1">[1]!thsiFinD("ths_the_sw_industry_stock",AP75,100,$A$1)</f>
        <v>公用事业</v>
      </c>
    </row>
    <row r="76" spans="2:45" ht="14.25">
      <c r="B76" s="33" t="s">
        <v>53</v>
      </c>
      <c r="C76" s="102">
        <v>14.957000000000001</v>
      </c>
      <c r="D76" s="97"/>
      <c r="W76" s="92">
        <v>46104</v>
      </c>
      <c r="X76" s="84" t="s">
        <v>446</v>
      </c>
      <c r="Y76" s="84" t="s">
        <v>447</v>
      </c>
      <c r="Z76" s="93">
        <v>0.2379</v>
      </c>
      <c r="AA76" s="72" t="str">
        <f ca="1">[1]!thsiFinD("ths_the_sw_industry_stock",X76,100,$A$1)</f>
        <v>医药生物</v>
      </c>
      <c r="AI76" s="92">
        <v>46104</v>
      </c>
      <c r="AJ76" s="84" t="s">
        <v>765</v>
      </c>
      <c r="AK76" s="84" t="s">
        <v>766</v>
      </c>
      <c r="AL76" s="93">
        <v>0.94399999999999995</v>
      </c>
      <c r="AM76" s="72" t="str">
        <f ca="1">[1]!thsiFinD("ths_the_sw_industry_stock",AJ76,100,$A$1)</f>
        <v>汽车</v>
      </c>
      <c r="AO76" s="92">
        <v>46104</v>
      </c>
      <c r="AP76" s="84" t="s">
        <v>1257</v>
      </c>
      <c r="AQ76" s="84" t="s">
        <v>1258</v>
      </c>
      <c r="AR76" s="93">
        <v>0.187</v>
      </c>
      <c r="AS76" s="72" t="str">
        <f ca="1">[1]!thsiFinD("ths_the_sw_industry_stock",AP76,100,$A$1)</f>
        <v>电子</v>
      </c>
    </row>
    <row r="77" spans="2:45" ht="14.25">
      <c r="B77" s="33" t="s">
        <v>116</v>
      </c>
      <c r="C77" s="102">
        <v>0.55100000000000005</v>
      </c>
      <c r="D77" s="97"/>
      <c r="W77" s="92">
        <v>46104</v>
      </c>
      <c r="X77" s="84" t="s">
        <v>448</v>
      </c>
      <c r="Y77" s="84" t="s">
        <v>449</v>
      </c>
      <c r="Z77" s="93">
        <v>0.34039999999999998</v>
      </c>
      <c r="AA77" s="72" t="str">
        <f ca="1">[1]!thsiFinD("ths_the_sw_industry_stock",X77,100,$A$1)</f>
        <v>医药生物</v>
      </c>
      <c r="AI77" s="92">
        <v>46104</v>
      </c>
      <c r="AJ77" s="84" t="s">
        <v>767</v>
      </c>
      <c r="AK77" s="84" t="s">
        <v>768</v>
      </c>
      <c r="AL77" s="93">
        <v>0.219</v>
      </c>
      <c r="AM77" s="72" t="str">
        <f ca="1">[1]!thsiFinD("ths_the_sw_industry_stock",AJ77,100,$A$1)</f>
        <v>电子</v>
      </c>
      <c r="AO77" s="92">
        <v>46104</v>
      </c>
      <c r="AP77" s="84" t="s">
        <v>1259</v>
      </c>
      <c r="AQ77" s="84" t="s">
        <v>1260</v>
      </c>
      <c r="AR77" s="93">
        <v>0.156</v>
      </c>
      <c r="AS77" s="72" t="str">
        <f ca="1">[1]!thsiFinD("ths_the_sw_industry_stock",AP77,100,$A$1)</f>
        <v>机械设备</v>
      </c>
    </row>
    <row r="78" spans="2:45" ht="14.25">
      <c r="B78" s="33" t="s">
        <v>107</v>
      </c>
      <c r="C78" s="102">
        <v>3.2000000000000001E-2</v>
      </c>
      <c r="D78" s="97"/>
      <c r="W78" s="92">
        <v>46104</v>
      </c>
      <c r="X78" s="84" t="s">
        <v>450</v>
      </c>
      <c r="Y78" s="84" t="s">
        <v>451</v>
      </c>
      <c r="Z78" s="93">
        <v>0.22209999999999999</v>
      </c>
      <c r="AA78" s="72" t="str">
        <f ca="1">[1]!thsiFinD("ths_the_sw_industry_stock",X78,100,$A$1)</f>
        <v>电子</v>
      </c>
      <c r="AI78" s="92">
        <v>46104</v>
      </c>
      <c r="AJ78" s="84" t="s">
        <v>769</v>
      </c>
      <c r="AK78" s="84" t="s">
        <v>770</v>
      </c>
      <c r="AL78" s="93">
        <v>0.152</v>
      </c>
      <c r="AM78" s="72" t="str">
        <f ca="1">[1]!thsiFinD("ths_the_sw_industry_stock",AJ78,100,$A$1)</f>
        <v>基础化工</v>
      </c>
      <c r="AO78" s="92">
        <v>46104</v>
      </c>
      <c r="AP78" s="84" t="s">
        <v>197</v>
      </c>
      <c r="AQ78" s="84" t="s">
        <v>1261</v>
      </c>
      <c r="AR78" s="93">
        <v>0.156</v>
      </c>
      <c r="AS78" s="72" t="str">
        <f ca="1">[1]!thsiFinD("ths_the_sw_industry_stock",AP78,100,$A$1)</f>
        <v>医药生物</v>
      </c>
    </row>
    <row r="79" spans="2:45" ht="14.25">
      <c r="B79" s="33" t="s">
        <v>67</v>
      </c>
      <c r="C79" s="102">
        <v>9.6739999999999995</v>
      </c>
      <c r="D79" s="97"/>
      <c r="W79" s="92">
        <v>46104</v>
      </c>
      <c r="X79" s="84" t="s">
        <v>452</v>
      </c>
      <c r="Y79" s="84" t="s">
        <v>453</v>
      </c>
      <c r="Z79" s="93">
        <v>0.39739999999999998</v>
      </c>
      <c r="AA79" s="72" t="str">
        <f ca="1">[1]!thsiFinD("ths_the_sw_industry_stock",X79,100,$A$1)</f>
        <v>国防军工</v>
      </c>
      <c r="AI79" s="92">
        <v>46104</v>
      </c>
      <c r="AJ79" s="84" t="s">
        <v>771</v>
      </c>
      <c r="AK79" s="84" t="s">
        <v>772</v>
      </c>
      <c r="AL79" s="93">
        <v>0.28100000000000003</v>
      </c>
      <c r="AM79" s="72" t="str">
        <f ca="1">[1]!thsiFinD("ths_the_sw_industry_stock",AJ79,100,$A$1)</f>
        <v>国防军工</v>
      </c>
      <c r="AO79" s="92">
        <v>46104</v>
      </c>
      <c r="AP79" s="84" t="s">
        <v>1262</v>
      </c>
      <c r="AQ79" s="84" t="s">
        <v>1263</v>
      </c>
      <c r="AR79" s="93">
        <v>0.54600000000000004</v>
      </c>
      <c r="AS79" s="72" t="str">
        <f ca="1">[1]!thsiFinD("ths_the_sw_industry_stock",AP79,100,$A$1)</f>
        <v>机械设备</v>
      </c>
    </row>
    <row r="80" spans="2:45" ht="14.25">
      <c r="B80" s="33" t="s">
        <v>117</v>
      </c>
      <c r="C80" s="102">
        <v>0.6</v>
      </c>
      <c r="D80" s="97"/>
      <c r="W80" s="92">
        <v>46104</v>
      </c>
      <c r="X80" s="84" t="s">
        <v>454</v>
      </c>
      <c r="Y80" s="84" t="s">
        <v>455</v>
      </c>
      <c r="Z80" s="93">
        <v>0.18790000000000001</v>
      </c>
      <c r="AA80" s="72" t="str">
        <f ca="1">[1]!thsiFinD("ths_the_sw_industry_stock",X80,100,$A$1)</f>
        <v>机械设备</v>
      </c>
      <c r="AI80" s="92">
        <v>46104</v>
      </c>
      <c r="AJ80" s="84" t="s">
        <v>773</v>
      </c>
      <c r="AK80" s="84" t="s">
        <v>774</v>
      </c>
      <c r="AL80" s="93">
        <v>0.153</v>
      </c>
      <c r="AM80" s="72" t="str">
        <f ca="1">[1]!thsiFinD("ths_the_sw_industry_stock",AJ80,100,$A$1)</f>
        <v>基础化工</v>
      </c>
      <c r="AO80" s="92">
        <v>46104</v>
      </c>
      <c r="AP80" s="84" t="s">
        <v>1264</v>
      </c>
      <c r="AQ80" s="84" t="s">
        <v>1265</v>
      </c>
      <c r="AR80" s="93">
        <v>0.13300000000000001</v>
      </c>
      <c r="AS80" s="72" t="str">
        <f ca="1">[1]!thsiFinD("ths_the_sw_industry_stock",AP80,100,$A$1)</f>
        <v>国防军工</v>
      </c>
    </row>
    <row r="81" spans="2:45" ht="14.25">
      <c r="B81" s="33" t="s">
        <v>118</v>
      </c>
      <c r="C81" s="102">
        <v>2.7640000000000002</v>
      </c>
      <c r="D81" s="97"/>
      <c r="W81" s="92">
        <v>46104</v>
      </c>
      <c r="X81" s="84" t="s">
        <v>456</v>
      </c>
      <c r="Y81" s="84" t="s">
        <v>457</v>
      </c>
      <c r="Z81" s="93">
        <v>0.61809999999999998</v>
      </c>
      <c r="AA81" s="72" t="str">
        <f ca="1">[1]!thsiFinD("ths_the_sw_industry_stock",X81,100,$A$1)</f>
        <v>电力设备</v>
      </c>
      <c r="AI81" s="92">
        <v>46104</v>
      </c>
      <c r="AJ81" s="84" t="s">
        <v>775</v>
      </c>
      <c r="AK81" s="84" t="s">
        <v>776</v>
      </c>
      <c r="AL81" s="93">
        <v>0.23400000000000001</v>
      </c>
      <c r="AM81" s="72" t="str">
        <f ca="1">[1]!thsiFinD("ths_the_sw_industry_stock",AJ81,100,$A$1)</f>
        <v>电力设备</v>
      </c>
      <c r="AO81" s="92">
        <v>46104</v>
      </c>
      <c r="AP81" s="84" t="s">
        <v>1266</v>
      </c>
      <c r="AQ81" s="84" t="s">
        <v>1267</v>
      </c>
      <c r="AR81" s="93">
        <v>6.5000000000000002E-2</v>
      </c>
      <c r="AS81" s="72" t="str">
        <f ca="1">[1]!thsiFinD("ths_the_sw_industry_stock",AP81,100,$A$1)</f>
        <v>家用电器</v>
      </c>
    </row>
    <row r="82" spans="2:45">
      <c r="B82" s="33" t="s">
        <v>63</v>
      </c>
      <c r="C82" s="102">
        <v>2.1319999999999997</v>
      </c>
      <c r="W82" s="92">
        <v>46104</v>
      </c>
      <c r="X82" s="84" t="s">
        <v>458</v>
      </c>
      <c r="Y82" s="84" t="s">
        <v>459</v>
      </c>
      <c r="Z82" s="93">
        <v>0.1938</v>
      </c>
      <c r="AA82" s="72" t="str">
        <f ca="1">[1]!thsiFinD("ths_the_sw_industry_stock",X82,100,$A$1)</f>
        <v>电子</v>
      </c>
      <c r="AI82" s="92">
        <v>46104</v>
      </c>
      <c r="AJ82" s="84" t="s">
        <v>777</v>
      </c>
      <c r="AK82" s="84" t="s">
        <v>778</v>
      </c>
      <c r="AL82" s="93">
        <v>0.498</v>
      </c>
      <c r="AM82" s="72" t="str">
        <f ca="1">[1]!thsiFinD("ths_the_sw_industry_stock",AJ82,100,$A$1)</f>
        <v>农林牧渔</v>
      </c>
      <c r="AO82" s="92">
        <v>46104</v>
      </c>
      <c r="AP82" s="84" t="s">
        <v>1268</v>
      </c>
      <c r="AQ82" s="84" t="s">
        <v>1269</v>
      </c>
      <c r="AR82" s="93">
        <v>0.20100000000000001</v>
      </c>
      <c r="AS82" s="72" t="str">
        <f ca="1">[1]!thsiFinD("ths_the_sw_industry_stock",AP82,100,$A$1)</f>
        <v>医药生物</v>
      </c>
    </row>
    <row r="83" spans="2:45">
      <c r="B83" s="33" t="s">
        <v>68</v>
      </c>
      <c r="C83" s="102">
        <v>2.3620000000000001</v>
      </c>
      <c r="W83" s="92">
        <v>46104</v>
      </c>
      <c r="X83" s="84" t="s">
        <v>460</v>
      </c>
      <c r="Y83" s="84" t="s">
        <v>461</v>
      </c>
      <c r="Z83" s="93">
        <v>0.51290000000000002</v>
      </c>
      <c r="AA83" s="72" t="str">
        <f ca="1">[1]!thsiFinD("ths_the_sw_industry_stock",X83,100,$A$1)</f>
        <v>有色金属</v>
      </c>
      <c r="AI83" s="92">
        <v>46104</v>
      </c>
      <c r="AJ83" s="84" t="s">
        <v>779</v>
      </c>
      <c r="AK83" s="84" t="s">
        <v>780</v>
      </c>
      <c r="AL83" s="93">
        <v>0.15</v>
      </c>
      <c r="AM83" s="72" t="str">
        <f ca="1">[1]!thsiFinD("ths_the_sw_industry_stock",AJ83,100,$A$1)</f>
        <v>非银金融</v>
      </c>
      <c r="AO83" s="92">
        <v>46104</v>
      </c>
      <c r="AP83" s="84" t="s">
        <v>1270</v>
      </c>
      <c r="AQ83" s="84" t="s">
        <v>1271</v>
      </c>
      <c r="AR83" s="93">
        <v>0.16500000000000001</v>
      </c>
      <c r="AS83" s="72" t="str">
        <f ca="1">[1]!thsiFinD("ths_the_sw_industry_stock",AP83,100,$A$1)</f>
        <v>电力设备</v>
      </c>
    </row>
    <row r="84" spans="2:45">
      <c r="B84" s="33" t="s">
        <v>109</v>
      </c>
      <c r="C84" s="102">
        <v>2.3610000000000002</v>
      </c>
      <c r="W84" s="92">
        <v>46104</v>
      </c>
      <c r="X84" s="84" t="s">
        <v>462</v>
      </c>
      <c r="Y84" s="84" t="s">
        <v>463</v>
      </c>
      <c r="Z84" s="93">
        <v>16.154900000000001</v>
      </c>
      <c r="AA84" s="72" t="str">
        <f ca="1">[1]!thsiFinD("ths_the_sw_industry_stock",X84,100,$A$1)</f>
        <v>电力设备</v>
      </c>
      <c r="AI84" s="92">
        <v>46104</v>
      </c>
      <c r="AJ84" s="84" t="s">
        <v>781</v>
      </c>
      <c r="AK84" s="84" t="s">
        <v>782</v>
      </c>
      <c r="AL84" s="93">
        <v>0.29599999999999999</v>
      </c>
      <c r="AM84" s="72" t="str">
        <f ca="1">[1]!thsiFinD("ths_the_sw_industry_stock",AJ84,100,$A$1)</f>
        <v>电子</v>
      </c>
      <c r="AO84" s="92">
        <v>46104</v>
      </c>
      <c r="AP84" s="84" t="s">
        <v>1272</v>
      </c>
      <c r="AQ84" s="84" t="s">
        <v>1273</v>
      </c>
      <c r="AR84" s="93">
        <v>0.22600000000000001</v>
      </c>
      <c r="AS84" s="72" t="str">
        <f ca="1">[1]!thsiFinD("ths_the_sw_industry_stock",AP84,100,$A$1)</f>
        <v>基础化工</v>
      </c>
    </row>
    <row r="85" spans="2:45">
      <c r="B85" s="33" t="s">
        <v>54</v>
      </c>
      <c r="C85" s="102">
        <v>3.6889999999999996</v>
      </c>
      <c r="W85" s="92">
        <v>46104</v>
      </c>
      <c r="X85" s="84" t="s">
        <v>464</v>
      </c>
      <c r="Y85" s="84" t="s">
        <v>465</v>
      </c>
      <c r="Z85" s="93">
        <v>0.80910000000000004</v>
      </c>
      <c r="AA85" s="72" t="str">
        <f ca="1">[1]!thsiFinD("ths_the_sw_industry_stock",X85,100,$A$1)</f>
        <v>电力设备</v>
      </c>
      <c r="AI85" s="92">
        <v>46104</v>
      </c>
      <c r="AJ85" s="84" t="s">
        <v>783</v>
      </c>
      <c r="AK85" s="84" t="s">
        <v>784</v>
      </c>
      <c r="AL85" s="93">
        <v>0.14399999999999999</v>
      </c>
      <c r="AM85" s="72" t="str">
        <f ca="1">[1]!thsiFinD("ths_the_sw_industry_stock",AJ85,100,$A$1)</f>
        <v>计算机</v>
      </c>
      <c r="AO85" s="92">
        <v>46104</v>
      </c>
      <c r="AP85" s="84" t="s">
        <v>1274</v>
      </c>
      <c r="AQ85" s="84" t="s">
        <v>1275</v>
      </c>
      <c r="AR85" s="93">
        <v>0.19900000000000001</v>
      </c>
      <c r="AS85" s="72" t="str">
        <f ca="1">[1]!thsiFinD("ths_the_sw_industry_stock",AP85,100,$A$1)</f>
        <v>计算机</v>
      </c>
    </row>
    <row r="86" spans="2:45">
      <c r="B86" s="33" t="s">
        <v>114</v>
      </c>
      <c r="C86" s="102">
        <v>3.0950000000000002</v>
      </c>
      <c r="W86" s="92">
        <v>46104</v>
      </c>
      <c r="X86" s="84" t="s">
        <v>466</v>
      </c>
      <c r="Y86" s="84" t="s">
        <v>467</v>
      </c>
      <c r="Z86" s="93">
        <v>0.51290000000000002</v>
      </c>
      <c r="AA86" s="72" t="str">
        <f ca="1">[1]!thsiFinD("ths_the_sw_industry_stock",X86,100,$A$1)</f>
        <v>医药生物</v>
      </c>
      <c r="AI86" s="92">
        <v>46104</v>
      </c>
      <c r="AJ86" s="84" t="s">
        <v>785</v>
      </c>
      <c r="AK86" s="84" t="s">
        <v>786</v>
      </c>
      <c r="AL86" s="93">
        <v>0.16</v>
      </c>
      <c r="AM86" s="72" t="str">
        <f ca="1">[1]!thsiFinD("ths_the_sw_industry_stock",AJ86,100,$A$1)</f>
        <v>电子</v>
      </c>
      <c r="AO86" s="92">
        <v>46104</v>
      </c>
      <c r="AP86" s="84" t="s">
        <v>1276</v>
      </c>
      <c r="AQ86" s="84" t="s">
        <v>1277</v>
      </c>
      <c r="AR86" s="93">
        <v>0.26500000000000001</v>
      </c>
      <c r="AS86" s="72" t="str">
        <f ca="1">[1]!thsiFinD("ths_the_sw_industry_stock",AP86,100,$A$1)</f>
        <v>轻工制造</v>
      </c>
    </row>
    <row r="87" spans="2:45">
      <c r="B87" s="33" t="s">
        <v>119</v>
      </c>
      <c r="C87" s="102">
        <v>0.60299999999999998</v>
      </c>
      <c r="W87" s="92">
        <v>46104</v>
      </c>
      <c r="X87" s="84" t="s">
        <v>468</v>
      </c>
      <c r="Y87" s="84" t="s">
        <v>469</v>
      </c>
      <c r="Z87" s="93">
        <v>2.0823999999999998</v>
      </c>
      <c r="AA87" s="72" t="str">
        <f ca="1">[1]!thsiFinD("ths_the_sw_industry_stock",X87,100,$A$1)</f>
        <v>医药生物</v>
      </c>
      <c r="AI87" s="92">
        <v>46104</v>
      </c>
      <c r="AJ87" s="84" t="s">
        <v>787</v>
      </c>
      <c r="AK87" s="84" t="s">
        <v>788</v>
      </c>
      <c r="AL87" s="93">
        <v>0.121</v>
      </c>
      <c r="AM87" s="72" t="str">
        <f ca="1">[1]!thsiFinD("ths_the_sw_industry_stock",AJ87,100,$A$1)</f>
        <v>公用事业</v>
      </c>
      <c r="AO87" s="92">
        <v>46104</v>
      </c>
      <c r="AP87" s="84" t="s">
        <v>1278</v>
      </c>
      <c r="AQ87" s="84" t="s">
        <v>1279</v>
      </c>
      <c r="AR87" s="93">
        <v>0.312</v>
      </c>
      <c r="AS87" s="72" t="str">
        <f ca="1">[1]!thsiFinD("ths_the_sw_industry_stock",AP87,100,$A$1)</f>
        <v>建筑材料</v>
      </c>
    </row>
    <row r="88" spans="2:45">
      <c r="B88" s="33" t="s">
        <v>120</v>
      </c>
      <c r="C88" s="102">
        <v>1.544</v>
      </c>
      <c r="W88" s="92">
        <v>46104</v>
      </c>
      <c r="X88" s="84" t="s">
        <v>470</v>
      </c>
      <c r="Y88" s="84" t="s">
        <v>471</v>
      </c>
      <c r="Z88" s="93">
        <v>0.3422</v>
      </c>
      <c r="AA88" s="72" t="str">
        <f ca="1">[1]!thsiFinD("ths_the_sw_industry_stock",X88,100,$A$1)</f>
        <v>电力设备</v>
      </c>
      <c r="AI88" s="92">
        <v>46104</v>
      </c>
      <c r="AJ88" s="84" t="s">
        <v>328</v>
      </c>
      <c r="AK88" s="84" t="s">
        <v>329</v>
      </c>
      <c r="AL88" s="93">
        <v>0.30199999999999999</v>
      </c>
      <c r="AM88" s="72" t="str">
        <f ca="1">[1]!thsiFinD("ths_the_sw_industry_stock",AJ88,100,$A$1)</f>
        <v>电力设备</v>
      </c>
      <c r="AO88" s="92">
        <v>46104</v>
      </c>
      <c r="AP88" s="84" t="s">
        <v>1280</v>
      </c>
      <c r="AQ88" s="84" t="s">
        <v>1281</v>
      </c>
      <c r="AR88" s="93">
        <v>0.223</v>
      </c>
      <c r="AS88" s="72" t="str">
        <f ca="1">[1]!thsiFinD("ths_the_sw_industry_stock",AP88,100,$A$1)</f>
        <v>汽车</v>
      </c>
    </row>
    <row r="89" spans="2:45">
      <c r="B89" s="33" t="s">
        <v>121</v>
      </c>
      <c r="C89" s="102">
        <v>2.984</v>
      </c>
      <c r="W89" s="92">
        <v>46104</v>
      </c>
      <c r="X89" s="84" t="s">
        <v>472</v>
      </c>
      <c r="Y89" s="84" t="s">
        <v>473</v>
      </c>
      <c r="Z89" s="93">
        <v>0.2238</v>
      </c>
      <c r="AA89" s="72" t="str">
        <f ca="1">[1]!thsiFinD("ths_the_sw_industry_stock",X89,100,$A$1)</f>
        <v>医药生物</v>
      </c>
      <c r="AI89" s="92">
        <v>46104</v>
      </c>
      <c r="AJ89" s="84" t="s">
        <v>330</v>
      </c>
      <c r="AK89" s="84" t="s">
        <v>331</v>
      </c>
      <c r="AL89" s="93">
        <v>0.192</v>
      </c>
      <c r="AM89" s="72" t="str">
        <f ca="1">[1]!thsiFinD("ths_the_sw_industry_stock",AJ89,100,$A$1)</f>
        <v>医药生物</v>
      </c>
      <c r="AO89" s="92">
        <v>46104</v>
      </c>
      <c r="AP89" s="84" t="s">
        <v>1282</v>
      </c>
      <c r="AQ89" s="84" t="s">
        <v>1283</v>
      </c>
      <c r="AR89" s="93">
        <v>9.5000000000000001E-2</v>
      </c>
      <c r="AS89" s="72" t="str">
        <f ca="1">[1]!thsiFinD("ths_the_sw_industry_stock",AP89,100,$A$1)</f>
        <v>交通运输</v>
      </c>
    </row>
    <row r="90" spans="2:45">
      <c r="B90" s="33" t="s">
        <v>122</v>
      </c>
      <c r="C90" s="102">
        <v>1.2120000000000002</v>
      </c>
      <c r="W90" s="92">
        <v>46104</v>
      </c>
      <c r="X90" s="84" t="s">
        <v>474</v>
      </c>
      <c r="Y90" s="84" t="s">
        <v>475</v>
      </c>
      <c r="Z90" s="93">
        <v>0.50739999999999996</v>
      </c>
      <c r="AA90" s="72" t="str">
        <f ca="1">[1]!thsiFinD("ths_the_sw_industry_stock",X90,100,$A$1)</f>
        <v>电子</v>
      </c>
      <c r="AI90" s="92">
        <v>46104</v>
      </c>
      <c r="AJ90" s="84" t="s">
        <v>336</v>
      </c>
      <c r="AK90" s="84" t="s">
        <v>337</v>
      </c>
      <c r="AL90" s="93">
        <v>0.27800000000000002</v>
      </c>
      <c r="AM90" s="72" t="str">
        <f ca="1">[1]!thsiFinD("ths_the_sw_industry_stock",AJ90,100,$A$1)</f>
        <v>计算机</v>
      </c>
      <c r="AO90" s="92">
        <v>46104</v>
      </c>
      <c r="AP90" s="84" t="s">
        <v>1284</v>
      </c>
      <c r="AQ90" s="84" t="s">
        <v>1285</v>
      </c>
      <c r="AR90" s="93">
        <v>0.377</v>
      </c>
      <c r="AS90" s="72" t="str">
        <f ca="1">[1]!thsiFinD("ths_the_sw_industry_stock",AP90,100,$A$1)</f>
        <v>汽车</v>
      </c>
    </row>
    <row r="91" spans="2:45">
      <c r="B91" s="33" t="s">
        <v>69</v>
      </c>
      <c r="C91" s="102">
        <v>8.4000000000000005E-2</v>
      </c>
      <c r="W91" s="92">
        <v>46104</v>
      </c>
      <c r="X91" s="84" t="s">
        <v>476</v>
      </c>
      <c r="Y91" s="84" t="s">
        <v>477</v>
      </c>
      <c r="Z91" s="93">
        <v>0.79169999999999996</v>
      </c>
      <c r="AA91" s="72" t="str">
        <f ca="1">[1]!thsiFinD("ths_the_sw_industry_stock",X91,100,$A$1)</f>
        <v>计算机</v>
      </c>
      <c r="AI91" s="92">
        <v>46104</v>
      </c>
      <c r="AJ91" s="84" t="s">
        <v>344</v>
      </c>
      <c r="AK91" s="84" t="s">
        <v>345</v>
      </c>
      <c r="AL91" s="93">
        <v>1.1080000000000001</v>
      </c>
      <c r="AM91" s="72" t="str">
        <f ca="1">[1]!thsiFinD("ths_the_sw_industry_stock",AJ91,100,$A$1)</f>
        <v>非银金融</v>
      </c>
      <c r="AO91" s="92">
        <v>46104</v>
      </c>
      <c r="AP91" s="84" t="s">
        <v>1286</v>
      </c>
      <c r="AQ91" s="84" t="s">
        <v>1287</v>
      </c>
      <c r="AR91" s="93">
        <v>0.316</v>
      </c>
      <c r="AS91" s="72" t="str">
        <f ca="1">[1]!thsiFinD("ths_the_sw_industry_stock",AP91,100,$A$1)</f>
        <v>煤炭</v>
      </c>
    </row>
    <row r="92" spans="2:45">
      <c r="B92" s="33" t="s">
        <v>110</v>
      </c>
      <c r="C92" s="102">
        <v>1.1500000000000001</v>
      </c>
      <c r="W92" s="92">
        <v>46104</v>
      </c>
      <c r="X92" s="84" t="s">
        <v>478</v>
      </c>
      <c r="Y92" s="84" t="s">
        <v>479</v>
      </c>
      <c r="Z92" s="93">
        <v>0.32950000000000002</v>
      </c>
      <c r="AA92" s="72" t="str">
        <f ca="1">[1]!thsiFinD("ths_the_sw_industry_stock",X92,100,$A$1)</f>
        <v>医药生物</v>
      </c>
      <c r="AI92" s="92">
        <v>46104</v>
      </c>
      <c r="AJ92" s="84" t="s">
        <v>352</v>
      </c>
      <c r="AK92" s="84" t="s">
        <v>353</v>
      </c>
      <c r="AL92" s="93">
        <v>0.08</v>
      </c>
      <c r="AM92" s="72" t="str">
        <f ca="1">[1]!thsiFinD("ths_the_sw_industry_stock",AJ92,100,$A$1)</f>
        <v>医药生物</v>
      </c>
      <c r="AO92" s="92">
        <v>46104</v>
      </c>
      <c r="AP92" s="84" t="s">
        <v>1288</v>
      </c>
      <c r="AQ92" s="84" t="s">
        <v>1289</v>
      </c>
      <c r="AR92" s="93">
        <v>0.33</v>
      </c>
      <c r="AS92" s="72" t="str">
        <f ca="1">[1]!thsiFinD("ths_the_sw_industry_stock",AP92,100,$A$1)</f>
        <v>电子</v>
      </c>
    </row>
    <row r="93" spans="2:45">
      <c r="B93" s="33" t="s">
        <v>115</v>
      </c>
      <c r="C93" s="102">
        <v>3.5490000000000004</v>
      </c>
      <c r="W93" s="92">
        <v>46104</v>
      </c>
      <c r="X93" s="84" t="s">
        <v>480</v>
      </c>
      <c r="Y93" s="84" t="s">
        <v>481</v>
      </c>
      <c r="Z93" s="93">
        <v>1.103</v>
      </c>
      <c r="AA93" s="72" t="str">
        <f ca="1">[1]!thsiFinD("ths_the_sw_industry_stock",X93,100,$A$1)</f>
        <v>电子</v>
      </c>
      <c r="AI93" s="92">
        <v>46104</v>
      </c>
      <c r="AJ93" s="84" t="s">
        <v>354</v>
      </c>
      <c r="AK93" s="84" t="s">
        <v>355</v>
      </c>
      <c r="AL93" s="93">
        <v>0.53600000000000003</v>
      </c>
      <c r="AM93" s="72" t="str">
        <f ca="1">[1]!thsiFinD("ths_the_sw_industry_stock",AJ93,100,$A$1)</f>
        <v>机械设备</v>
      </c>
      <c r="AO93" s="92">
        <v>46104</v>
      </c>
      <c r="AP93" s="84" t="s">
        <v>1290</v>
      </c>
      <c r="AQ93" s="84" t="s">
        <v>1291</v>
      </c>
      <c r="AR93" s="93">
        <v>0.59799999999999998</v>
      </c>
      <c r="AS93" s="72" t="str">
        <f ca="1">[1]!thsiFinD("ths_the_sw_industry_stock",AP93,100,$A$1)</f>
        <v>机械设备</v>
      </c>
    </row>
    <row r="94" spans="2:45">
      <c r="B94" s="33" t="s">
        <v>123</v>
      </c>
      <c r="C94" s="102">
        <v>4.5999999999999999E-2</v>
      </c>
      <c r="W94" s="92">
        <v>46104</v>
      </c>
      <c r="X94" s="84" t="s">
        <v>482</v>
      </c>
      <c r="Y94" s="101" t="s">
        <v>483</v>
      </c>
      <c r="Z94" s="93">
        <v>0.38400000000000001</v>
      </c>
      <c r="AA94" s="72" t="str">
        <f ca="1">[1]!thsiFinD("ths_the_sw_industry_stock",X94,100,$A$1)</f>
        <v>电子</v>
      </c>
      <c r="AI94" s="92">
        <v>46104</v>
      </c>
      <c r="AJ94" s="84" t="s">
        <v>368</v>
      </c>
      <c r="AK94" s="101" t="s">
        <v>369</v>
      </c>
      <c r="AL94" s="93">
        <v>0.111</v>
      </c>
      <c r="AM94" s="72" t="str">
        <f ca="1">[1]!thsiFinD("ths_the_sw_industry_stock",AJ94,100,$A$1)</f>
        <v>传媒</v>
      </c>
      <c r="AO94" s="92">
        <v>46104</v>
      </c>
      <c r="AP94" s="84" t="s">
        <v>1292</v>
      </c>
      <c r="AQ94" s="84" t="s">
        <v>1293</v>
      </c>
      <c r="AR94" s="93">
        <v>0.309</v>
      </c>
      <c r="AS94" s="72" t="str">
        <f ca="1">[1]!thsiFinD("ths_the_sw_industry_stock",AP94,100,$A$1)</f>
        <v>电子</v>
      </c>
    </row>
    <row r="95" spans="2:45" ht="14.25">
      <c r="B95" s="33" t="s">
        <v>124</v>
      </c>
      <c r="C95" s="102">
        <v>0.46399999999999997</v>
      </c>
      <c r="D95" s="97"/>
      <c r="W95" s="92">
        <v>46104</v>
      </c>
      <c r="X95" s="84" t="s">
        <v>484</v>
      </c>
      <c r="Y95" s="84" t="s">
        <v>485</v>
      </c>
      <c r="Z95" s="93">
        <v>0.11899999999999999</v>
      </c>
      <c r="AA95" s="72" t="str">
        <f ca="1">[1]!thsiFinD("ths_the_sw_industry_stock",X95,100,$A$1)</f>
        <v>美容护理</v>
      </c>
      <c r="AI95" s="92">
        <v>46104</v>
      </c>
      <c r="AJ95" s="84" t="s">
        <v>374</v>
      </c>
      <c r="AK95" s="101" t="s">
        <v>375</v>
      </c>
      <c r="AL95" s="93">
        <v>0.81599999999999995</v>
      </c>
      <c r="AM95" s="72" t="str">
        <f ca="1">[1]!thsiFinD("ths_the_sw_industry_stock",AJ95,100,$A$1)</f>
        <v>电力设备</v>
      </c>
      <c r="AO95" s="92">
        <v>46104</v>
      </c>
      <c r="AP95" s="84" t="s">
        <v>1294</v>
      </c>
      <c r="AQ95" s="84" t="s">
        <v>1295</v>
      </c>
      <c r="AR95" s="93">
        <v>0.157</v>
      </c>
      <c r="AS95" s="72" t="str">
        <f ca="1">[1]!thsiFinD("ths_the_sw_industry_stock",AP95,100,$A$1)</f>
        <v>计算机</v>
      </c>
    </row>
    <row r="96" spans="2:45" ht="14.25">
      <c r="B96" s="33" t="s">
        <v>125</v>
      </c>
      <c r="C96" s="102">
        <v>1.7449999999999997</v>
      </c>
      <c r="D96" s="97"/>
      <c r="W96" s="92">
        <v>46104</v>
      </c>
      <c r="X96" s="84" t="s">
        <v>486</v>
      </c>
      <c r="Y96" s="84" t="s">
        <v>487</v>
      </c>
      <c r="Z96" s="93">
        <v>0.36009999999999998</v>
      </c>
      <c r="AA96" s="72" t="str">
        <f ca="1">[1]!thsiFinD("ths_the_sw_industry_stock",X96,100,$A$1)</f>
        <v>美容护理</v>
      </c>
      <c r="AI96" s="92">
        <v>46104</v>
      </c>
      <c r="AJ96" s="84" t="s">
        <v>378</v>
      </c>
      <c r="AK96" s="84" t="s">
        <v>379</v>
      </c>
      <c r="AL96" s="93">
        <v>2.3079999999999998</v>
      </c>
      <c r="AM96" s="72" t="str">
        <f ca="1">[1]!thsiFinD("ths_the_sw_industry_stock",AJ96,100,$A$1)</f>
        <v>通信</v>
      </c>
      <c r="AO96" s="92">
        <v>46104</v>
      </c>
      <c r="AP96" s="84" t="s">
        <v>1296</v>
      </c>
      <c r="AQ96" s="84" t="s">
        <v>1297</v>
      </c>
      <c r="AR96" s="93">
        <v>8.8999999999999996E-2</v>
      </c>
      <c r="AS96" s="72" t="str">
        <f ca="1">[1]!thsiFinD("ths_the_sw_industry_stock",AP96,100,$A$1)</f>
        <v>计算机</v>
      </c>
    </row>
    <row r="97" spans="2:45" ht="14.25">
      <c r="B97" s="33" t="s">
        <v>112</v>
      </c>
      <c r="C97" s="102">
        <v>6.5070000000000014</v>
      </c>
      <c r="D97" s="97"/>
      <c r="W97" s="92">
        <v>46104</v>
      </c>
      <c r="X97" s="84" t="s">
        <v>488</v>
      </c>
      <c r="Y97" s="84" t="s">
        <v>489</v>
      </c>
      <c r="Z97" s="93">
        <v>0.44400000000000001</v>
      </c>
      <c r="AA97" s="72" t="str">
        <f ca="1">[1]!thsiFinD("ths_the_sw_industry_stock",X97,100,$A$1)</f>
        <v>电力设备</v>
      </c>
      <c r="AI97" s="92">
        <v>46104</v>
      </c>
      <c r="AJ97" s="84" t="s">
        <v>380</v>
      </c>
      <c r="AK97" s="84" t="s">
        <v>381</v>
      </c>
      <c r="AL97" s="93">
        <v>0.14199999999999999</v>
      </c>
      <c r="AM97" s="72" t="str">
        <f ca="1">[1]!thsiFinD("ths_the_sw_industry_stock",AJ97,100,$A$1)</f>
        <v>电力设备</v>
      </c>
      <c r="AO97" s="92">
        <v>46104</v>
      </c>
      <c r="AP97" s="84" t="s">
        <v>1298</v>
      </c>
      <c r="AQ97" s="84" t="s">
        <v>1299</v>
      </c>
      <c r="AR97" s="93">
        <v>0.378</v>
      </c>
      <c r="AS97" s="72" t="str">
        <f ca="1">[1]!thsiFinD("ths_the_sw_industry_stock",AP97,100,$A$1)</f>
        <v>有色金属</v>
      </c>
    </row>
    <row r="98" spans="2:45" ht="14.25">
      <c r="B98" s="33" t="s">
        <v>62</v>
      </c>
      <c r="C98" s="102">
        <v>6.2150000000000007</v>
      </c>
      <c r="D98" s="97"/>
      <c r="W98" s="92">
        <v>46104</v>
      </c>
      <c r="X98" s="84" t="s">
        <v>490</v>
      </c>
      <c r="Y98" s="84" t="s">
        <v>491</v>
      </c>
      <c r="Z98" s="93">
        <v>0.16650000000000001</v>
      </c>
      <c r="AA98" s="72" t="str">
        <f ca="1">[1]!thsiFinD("ths_the_sw_industry_stock",X98,100,$A$1)</f>
        <v>美容护理</v>
      </c>
      <c r="AI98" s="92">
        <v>46104</v>
      </c>
      <c r="AJ98" s="84" t="s">
        <v>386</v>
      </c>
      <c r="AK98" s="84" t="s">
        <v>387</v>
      </c>
      <c r="AL98" s="93">
        <v>0.12</v>
      </c>
      <c r="AM98" s="72" t="str">
        <f ca="1">[1]!thsiFinD("ths_the_sw_industry_stock",AJ98,100,$A$1)</f>
        <v>医药生物</v>
      </c>
      <c r="AO98" s="92">
        <v>46104</v>
      </c>
      <c r="AP98" s="84" t="s">
        <v>1300</v>
      </c>
      <c r="AQ98" s="84" t="s">
        <v>1301</v>
      </c>
      <c r="AR98" s="93">
        <v>0.57899999999999996</v>
      </c>
      <c r="AS98" s="72" t="str">
        <f ca="1">[1]!thsiFinD("ths_the_sw_industry_stock",AP98,100,$A$1)</f>
        <v>电子</v>
      </c>
    </row>
    <row r="99" spans="2:45" ht="14.25">
      <c r="B99" s="33" t="s">
        <v>64</v>
      </c>
      <c r="C99" s="102">
        <v>4.7980000000000009</v>
      </c>
      <c r="D99" s="97"/>
      <c r="W99" s="92">
        <v>46104</v>
      </c>
      <c r="X99" s="84" t="s">
        <v>492</v>
      </c>
      <c r="Y99" s="84" t="s">
        <v>493</v>
      </c>
      <c r="Z99" s="93">
        <v>0.34200000000000003</v>
      </c>
      <c r="AA99" s="72" t="str">
        <f ca="1">[1]!thsiFinD("ths_the_sw_industry_stock",X99,100,$A$1)</f>
        <v>商贸零售</v>
      </c>
      <c r="AI99" s="92">
        <v>46104</v>
      </c>
      <c r="AJ99" s="84" t="s">
        <v>392</v>
      </c>
      <c r="AK99" s="84" t="s">
        <v>393</v>
      </c>
      <c r="AL99" s="93">
        <v>0.66900000000000004</v>
      </c>
      <c r="AM99" s="72" t="str">
        <f ca="1">[1]!thsiFinD("ths_the_sw_industry_stock",AJ99,100,$A$1)</f>
        <v>通信</v>
      </c>
      <c r="AO99" s="92">
        <v>46104</v>
      </c>
      <c r="AP99" s="84" t="s">
        <v>1302</v>
      </c>
      <c r="AQ99" s="84" t="s">
        <v>1303</v>
      </c>
      <c r="AR99" s="93">
        <v>0.218</v>
      </c>
      <c r="AS99" s="72" t="str">
        <f ca="1">[1]!thsiFinD("ths_the_sw_industry_stock",AP99,100,$A$1)</f>
        <v>农林牧渔</v>
      </c>
    </row>
    <row r="100" spans="2:45" ht="14.25">
      <c r="B100" s="33" t="s">
        <v>126</v>
      </c>
      <c r="C100" s="102">
        <v>10.894</v>
      </c>
      <c r="D100" s="97"/>
      <c r="W100" s="92">
        <v>46104</v>
      </c>
      <c r="X100" s="84" t="s">
        <v>494</v>
      </c>
      <c r="Y100" s="84" t="s">
        <v>495</v>
      </c>
      <c r="Z100" s="93">
        <v>0.1643</v>
      </c>
      <c r="AA100" s="72" t="str">
        <f ca="1">[1]!thsiFinD("ths_the_sw_industry_stock",X100,100,$A$1)</f>
        <v>纺织服饰</v>
      </c>
      <c r="AI100" s="92">
        <v>46104</v>
      </c>
      <c r="AJ100" s="84" t="s">
        <v>396</v>
      </c>
      <c r="AK100" s="84" t="s">
        <v>397</v>
      </c>
      <c r="AL100" s="93">
        <v>0.32900000000000001</v>
      </c>
      <c r="AM100" s="72" t="str">
        <f ca="1">[1]!thsiFinD("ths_the_sw_industry_stock",AJ100,100,$A$1)</f>
        <v>电子</v>
      </c>
      <c r="AO100" s="92">
        <v>46104</v>
      </c>
      <c r="AP100" s="84" t="s">
        <v>1304</v>
      </c>
      <c r="AQ100" s="84" t="s">
        <v>1305</v>
      </c>
      <c r="AR100" s="93">
        <v>0.35699999999999998</v>
      </c>
      <c r="AS100" s="72" t="str">
        <f ca="1">[1]!thsiFinD("ths_the_sw_industry_stock",AP100,100,$A$1)</f>
        <v>电子</v>
      </c>
    </row>
    <row r="101" spans="2:45" ht="14.25">
      <c r="B101" s="33" t="s">
        <v>113</v>
      </c>
      <c r="C101" s="102">
        <v>7.4830000000000005</v>
      </c>
      <c r="D101" s="97"/>
      <c r="W101" s="92">
        <v>46104</v>
      </c>
      <c r="X101" s="84" t="s">
        <v>496</v>
      </c>
      <c r="Y101" s="84" t="s">
        <v>497</v>
      </c>
      <c r="Z101" s="93">
        <v>0.30380000000000001</v>
      </c>
      <c r="AA101" s="72" t="str">
        <f ca="1">[1]!thsiFinD("ths_the_sw_industry_stock",X101,100,$A$1)</f>
        <v>农林牧渔</v>
      </c>
      <c r="AI101" s="92">
        <v>46104</v>
      </c>
      <c r="AJ101" s="84" t="s">
        <v>398</v>
      </c>
      <c r="AK101" s="100" t="s">
        <v>399</v>
      </c>
      <c r="AL101" s="93">
        <v>7.0999999999999994E-2</v>
      </c>
      <c r="AM101" s="72" t="str">
        <f ca="1">[1]!thsiFinD("ths_the_sw_industry_stock",AJ101,100,$A$1)</f>
        <v>传媒</v>
      </c>
      <c r="AO101" s="92">
        <v>46104</v>
      </c>
      <c r="AP101" s="84" t="s">
        <v>1306</v>
      </c>
      <c r="AQ101" s="84" t="s">
        <v>1307</v>
      </c>
      <c r="AR101" s="93">
        <v>0.57599999999999996</v>
      </c>
      <c r="AS101" s="72" t="str">
        <f ca="1">[1]!thsiFinD("ths_the_sw_industry_stock",AP101,100,$A$1)</f>
        <v>计算机</v>
      </c>
    </row>
    <row r="102" spans="2:45" ht="14.25">
      <c r="B102" s="33" t="s">
        <v>143</v>
      </c>
      <c r="C102" s="102">
        <v>0.60200000000000009</v>
      </c>
      <c r="D102" s="97"/>
      <c r="W102" s="92">
        <v>46104</v>
      </c>
      <c r="X102" s="84" t="s">
        <v>498</v>
      </c>
      <c r="Y102" s="84" t="s">
        <v>499</v>
      </c>
      <c r="Z102" s="93">
        <v>0.16489999999999999</v>
      </c>
      <c r="AA102" s="72" t="str">
        <f ca="1">[1]!thsiFinD("ths_the_sw_industry_stock",X102,100,$A$1)</f>
        <v>通信</v>
      </c>
      <c r="AI102" s="92">
        <v>46104</v>
      </c>
      <c r="AJ102" s="84" t="s">
        <v>400</v>
      </c>
      <c r="AK102" s="84" t="s">
        <v>401</v>
      </c>
      <c r="AL102" s="93">
        <v>0.20899999999999999</v>
      </c>
      <c r="AM102" s="72" t="str">
        <f ca="1">[1]!thsiFinD("ths_the_sw_industry_stock",AJ102,100,$A$1)</f>
        <v>传媒</v>
      </c>
      <c r="AO102" s="92">
        <v>46104</v>
      </c>
      <c r="AP102" s="84" t="s">
        <v>1308</v>
      </c>
      <c r="AQ102" s="84" t="s">
        <v>1309</v>
      </c>
      <c r="AR102" s="93">
        <v>0.63100000000000001</v>
      </c>
      <c r="AS102" s="72" t="str">
        <f ca="1">[1]!thsiFinD("ths_the_sw_industry_stock",AP102,100,$A$1)</f>
        <v>电力设备</v>
      </c>
    </row>
    <row r="103" spans="2:45" ht="14.25">
      <c r="B103" s="33" t="s">
        <v>74</v>
      </c>
      <c r="C103" s="102">
        <v>101.06400000000002</v>
      </c>
      <c r="D103" s="97"/>
      <c r="W103" s="92">
        <v>46104</v>
      </c>
      <c r="X103" s="84" t="s">
        <v>500</v>
      </c>
      <c r="Y103" s="84" t="s">
        <v>501</v>
      </c>
      <c r="Z103" s="93">
        <v>0.18540000000000001</v>
      </c>
      <c r="AI103" s="92">
        <v>46104</v>
      </c>
      <c r="AJ103" s="84" t="s">
        <v>404</v>
      </c>
      <c r="AK103" s="84" t="s">
        <v>405</v>
      </c>
      <c r="AL103" s="93">
        <v>0.27300000000000002</v>
      </c>
      <c r="AO103" s="92">
        <v>46104</v>
      </c>
      <c r="AP103" s="84" t="s">
        <v>1310</v>
      </c>
      <c r="AQ103" s="84" t="s">
        <v>1311</v>
      </c>
      <c r="AR103" s="93">
        <v>0.186</v>
      </c>
    </row>
    <row r="104" spans="2:45" ht="14.25">
      <c r="B104" s="33"/>
      <c r="C104" s="102"/>
      <c r="D104" s="97"/>
      <c r="W104" s="92">
        <v>46104</v>
      </c>
      <c r="X104" s="84" t="s">
        <v>502</v>
      </c>
      <c r="Y104" s="84" t="s">
        <v>503</v>
      </c>
      <c r="Z104" s="93">
        <v>0.55840000000000001</v>
      </c>
      <c r="AI104" s="92">
        <v>46104</v>
      </c>
      <c r="AJ104" s="84" t="s">
        <v>406</v>
      </c>
      <c r="AK104" s="84" t="s">
        <v>407</v>
      </c>
      <c r="AL104" s="93">
        <v>0.32900000000000001</v>
      </c>
      <c r="AO104" s="92">
        <v>46104</v>
      </c>
      <c r="AP104" s="84" t="s">
        <v>198</v>
      </c>
      <c r="AQ104" s="84" t="s">
        <v>1312</v>
      </c>
      <c r="AR104" s="93">
        <v>0.214</v>
      </c>
    </row>
    <row r="105" spans="2:45" ht="14.25">
      <c r="D105" s="97"/>
      <c r="W105" s="92">
        <v>46104</v>
      </c>
      <c r="X105" s="84" t="s">
        <v>504</v>
      </c>
      <c r="Y105" s="84" t="s">
        <v>505</v>
      </c>
      <c r="Z105" s="93">
        <v>0.38059999999999999</v>
      </c>
      <c r="AA105" s="72" t="str">
        <f ca="1">[1]!thsiFinD("ths_the_sw_industry_stock",X105,100,$A$1)</f>
        <v>计算机</v>
      </c>
      <c r="AI105" s="92">
        <v>46104</v>
      </c>
      <c r="AJ105" s="84" t="s">
        <v>416</v>
      </c>
      <c r="AK105" s="84" t="s">
        <v>417</v>
      </c>
      <c r="AL105" s="93">
        <v>0.72099999999999997</v>
      </c>
      <c r="AM105" s="72" t="str">
        <f ca="1">[1]!thsiFinD("ths_the_sw_industry_stock",AJ105,100,$A$1)</f>
        <v>电子</v>
      </c>
      <c r="AO105" s="92">
        <v>46104</v>
      </c>
      <c r="AP105" s="84" t="s">
        <v>1313</v>
      </c>
      <c r="AQ105" s="84" t="s">
        <v>1314</v>
      </c>
      <c r="AR105" s="93">
        <v>0.128</v>
      </c>
      <c r="AS105" s="72" t="str">
        <f ca="1">[1]!thsiFinD("ths_the_sw_industry_stock",AP105,100,$A$1)</f>
        <v>房地产</v>
      </c>
    </row>
    <row r="106" spans="2:45" ht="14.25">
      <c r="B106" s="32" t="s">
        <v>73</v>
      </c>
      <c r="C106" t="s">
        <v>75</v>
      </c>
      <c r="D106" s="97"/>
      <c r="W106" s="92">
        <v>46104</v>
      </c>
      <c r="X106" s="84" t="s">
        <v>506</v>
      </c>
      <c r="Y106" s="84" t="s">
        <v>507</v>
      </c>
      <c r="Z106" s="93">
        <v>0.13350000000000001</v>
      </c>
      <c r="AA106" s="72" t="str">
        <f ca="1">[1]!thsiFinD("ths_the_sw_industry_stock",X106,100,$A$1)</f>
        <v>医药生物</v>
      </c>
      <c r="AI106" s="92">
        <v>46104</v>
      </c>
      <c r="AJ106" s="84" t="s">
        <v>422</v>
      </c>
      <c r="AK106" s="84" t="s">
        <v>423</v>
      </c>
      <c r="AL106" s="93">
        <v>0.33100000000000002</v>
      </c>
      <c r="AM106" s="72" t="str">
        <f ca="1">[1]!thsiFinD("ths_the_sw_industry_stock",AJ106,100,$A$1)</f>
        <v>农林牧渔</v>
      </c>
      <c r="AO106" s="92">
        <v>46104</v>
      </c>
      <c r="AP106" s="84" t="s">
        <v>1315</v>
      </c>
      <c r="AQ106" s="84" t="s">
        <v>1316</v>
      </c>
      <c r="AR106" s="93">
        <v>0.42199999999999999</v>
      </c>
      <c r="AS106" s="72" t="str">
        <f ca="1">[1]!thsiFinD("ths_the_sw_industry_stock",AP106,100,$A$1)</f>
        <v>计算机</v>
      </c>
    </row>
    <row r="107" spans="2:45" ht="14.25">
      <c r="B107" s="33" t="s">
        <v>55</v>
      </c>
      <c r="C107" s="102">
        <v>2.9769999999999994</v>
      </c>
      <c r="D107" s="97"/>
      <c r="W107" s="92">
        <v>46104</v>
      </c>
      <c r="X107" s="84" t="s">
        <v>508</v>
      </c>
      <c r="Y107" s="84" t="s">
        <v>509</v>
      </c>
      <c r="Z107" s="93">
        <v>0.86240000000000006</v>
      </c>
      <c r="AA107" s="72" t="str">
        <f ca="1">[1]!thsiFinD("ths_the_sw_industry_stock",X107,100,$A$1)</f>
        <v>电子</v>
      </c>
      <c r="AI107" s="92">
        <v>46104</v>
      </c>
      <c r="AJ107" s="84" t="s">
        <v>424</v>
      </c>
      <c r="AK107" s="84" t="s">
        <v>425</v>
      </c>
      <c r="AL107" s="93">
        <v>1.391</v>
      </c>
      <c r="AM107" s="72" t="str">
        <f ca="1">[1]!thsiFinD("ths_the_sw_industry_stock",AJ107,100,$A$1)</f>
        <v>通信</v>
      </c>
      <c r="AO107" s="92">
        <v>46104</v>
      </c>
      <c r="AP107" s="84" t="s">
        <v>199</v>
      </c>
      <c r="AQ107" s="84" t="s">
        <v>1317</v>
      </c>
      <c r="AR107" s="93">
        <v>0.13300000000000001</v>
      </c>
      <c r="AS107" s="72" t="str">
        <f ca="1">[1]!thsiFinD("ths_the_sw_industry_stock",AP107,100,$A$1)</f>
        <v>医药生物</v>
      </c>
    </row>
    <row r="108" spans="2:45" ht="14.25">
      <c r="B108" s="33" t="s">
        <v>52</v>
      </c>
      <c r="C108" s="102">
        <v>10.388000000000003</v>
      </c>
      <c r="D108" s="97"/>
      <c r="W108" s="92">
        <v>46104</v>
      </c>
      <c r="X108" s="84" t="s">
        <v>510</v>
      </c>
      <c r="Y108" s="84" t="s">
        <v>511</v>
      </c>
      <c r="Z108" s="93">
        <v>0.49249999999999999</v>
      </c>
      <c r="AA108" s="72" t="str">
        <f ca="1">[1]!thsiFinD("ths_the_sw_industry_stock",X108,100,$A$1)</f>
        <v>电力设备</v>
      </c>
      <c r="AI108" s="92">
        <v>46104</v>
      </c>
      <c r="AJ108" s="84" t="s">
        <v>440</v>
      </c>
      <c r="AK108" s="84" t="s">
        <v>441</v>
      </c>
      <c r="AL108" s="93">
        <v>7.3999999999999996E-2</v>
      </c>
      <c r="AM108" s="72" t="str">
        <f ca="1">[1]!thsiFinD("ths_the_sw_industry_stock",AJ108,100,$A$1)</f>
        <v>通信</v>
      </c>
      <c r="AO108" s="92">
        <v>46104</v>
      </c>
      <c r="AP108" s="84" t="s">
        <v>1318</v>
      </c>
      <c r="AQ108" s="84" t="s">
        <v>1319</v>
      </c>
      <c r="AR108" s="93">
        <v>7.0999999999999994E-2</v>
      </c>
      <c r="AS108" s="72" t="str">
        <f ca="1">[1]!thsiFinD("ths_the_sw_industry_stock",AP108,100,$A$1)</f>
        <v>汽车</v>
      </c>
    </row>
    <row r="109" spans="2:45" ht="14.25">
      <c r="B109" s="33" t="s">
        <v>53</v>
      </c>
      <c r="C109" s="102">
        <v>17.203000000000003</v>
      </c>
      <c r="D109" s="97"/>
      <c r="W109" s="92">
        <v>46104</v>
      </c>
      <c r="X109" s="84" t="s">
        <v>512</v>
      </c>
      <c r="Y109" s="84" t="s">
        <v>513</v>
      </c>
      <c r="Z109" s="93">
        <v>0.10539999999999999</v>
      </c>
      <c r="AA109" s="72" t="str">
        <f ca="1">[1]!thsiFinD("ths_the_sw_industry_stock",X109,100,$A$1)</f>
        <v>农林牧渔</v>
      </c>
      <c r="AI109" s="92">
        <v>46104</v>
      </c>
      <c r="AJ109" s="84" t="s">
        <v>442</v>
      </c>
      <c r="AK109" s="84" t="s">
        <v>443</v>
      </c>
      <c r="AL109" s="93">
        <v>0.11600000000000001</v>
      </c>
      <c r="AM109" s="72" t="str">
        <f ca="1">[1]!thsiFinD("ths_the_sw_industry_stock",AJ109,100,$A$1)</f>
        <v>电子</v>
      </c>
      <c r="AO109" s="92">
        <v>46104</v>
      </c>
      <c r="AP109" s="84" t="s">
        <v>1320</v>
      </c>
      <c r="AQ109" s="84" t="s">
        <v>1321</v>
      </c>
      <c r="AR109" s="93">
        <v>0.125</v>
      </c>
      <c r="AS109" s="72" t="str">
        <f ca="1">[1]!thsiFinD("ths_the_sw_industry_stock",AP109,100,$A$1)</f>
        <v>环保</v>
      </c>
    </row>
    <row r="110" spans="2:45" ht="14.25">
      <c r="B110" s="33" t="s">
        <v>116</v>
      </c>
      <c r="C110" s="102">
        <v>0.70599999999999996</v>
      </c>
      <c r="D110" s="97"/>
      <c r="W110" s="92">
        <v>46104</v>
      </c>
      <c r="X110" s="84" t="s">
        <v>514</v>
      </c>
      <c r="Y110" s="84" t="s">
        <v>515</v>
      </c>
      <c r="Z110" s="93">
        <v>0.2727</v>
      </c>
      <c r="AA110" s="72" t="str">
        <f ca="1">[1]!thsiFinD("ths_the_sw_industry_stock",X110,100,$A$1)</f>
        <v>电子</v>
      </c>
      <c r="AI110" s="92">
        <v>46104</v>
      </c>
      <c r="AJ110" s="84" t="s">
        <v>462</v>
      </c>
      <c r="AK110" s="84" t="s">
        <v>463</v>
      </c>
      <c r="AL110" s="93">
        <v>3.5179999999999998</v>
      </c>
      <c r="AM110" s="72" t="str">
        <f ca="1">[1]!thsiFinD("ths_the_sw_industry_stock",AJ110,100,$A$1)</f>
        <v>电力设备</v>
      </c>
      <c r="AO110" s="92">
        <v>46104</v>
      </c>
      <c r="AP110" s="84" t="s">
        <v>1322</v>
      </c>
      <c r="AQ110" s="84" t="s">
        <v>1323</v>
      </c>
      <c r="AR110" s="93">
        <v>0.316</v>
      </c>
      <c r="AS110" s="72" t="str">
        <f ca="1">[1]!thsiFinD("ths_the_sw_industry_stock",AP110,100,$A$1)</f>
        <v>建筑材料</v>
      </c>
    </row>
    <row r="111" spans="2:45" ht="14.25">
      <c r="B111" s="33" t="s">
        <v>107</v>
      </c>
      <c r="C111" s="102">
        <v>0.29799999999999999</v>
      </c>
      <c r="D111" s="97"/>
      <c r="W111" s="92">
        <v>46104</v>
      </c>
      <c r="X111" s="84" t="s">
        <v>516</v>
      </c>
      <c r="Y111" s="84" t="s">
        <v>517</v>
      </c>
      <c r="Z111" s="93">
        <v>0.33489999999999998</v>
      </c>
      <c r="AA111" s="72" t="str">
        <f ca="1">[1]!thsiFinD("ths_the_sw_industry_stock",X111,100,$A$1)</f>
        <v>电子</v>
      </c>
      <c r="AI111" s="92">
        <v>46104</v>
      </c>
      <c r="AJ111" s="84" t="s">
        <v>466</v>
      </c>
      <c r="AK111" s="84" t="s">
        <v>467</v>
      </c>
      <c r="AL111" s="93">
        <v>0.11899999999999999</v>
      </c>
      <c r="AM111" s="72" t="str">
        <f ca="1">[1]!thsiFinD("ths_the_sw_industry_stock",AJ111,100,$A$1)</f>
        <v>医药生物</v>
      </c>
      <c r="AO111" s="92">
        <v>46104</v>
      </c>
      <c r="AP111" s="84" t="s">
        <v>1324</v>
      </c>
      <c r="AQ111" s="84" t="s">
        <v>1325</v>
      </c>
      <c r="AR111" s="93">
        <v>0.36</v>
      </c>
      <c r="AS111" s="72" t="str">
        <f ca="1">[1]!thsiFinD("ths_the_sw_industry_stock",AP111,100,$A$1)</f>
        <v>电子</v>
      </c>
    </row>
    <row r="112" spans="2:45" ht="14.25">
      <c r="B112" s="33" t="s">
        <v>67</v>
      </c>
      <c r="C112" s="102">
        <v>5.2410000000000005</v>
      </c>
      <c r="D112" s="97"/>
      <c r="W112" s="92">
        <v>46104</v>
      </c>
      <c r="X112" s="84" t="s">
        <v>518</v>
      </c>
      <c r="Y112" s="84" t="s">
        <v>519</v>
      </c>
      <c r="Z112" s="93">
        <v>0.40629999999999999</v>
      </c>
      <c r="AA112" s="72" t="str">
        <f ca="1">[1]!thsiFinD("ths_the_sw_industry_stock",X112,100,$A$1)</f>
        <v>国防军工</v>
      </c>
      <c r="AI112" s="92">
        <v>46104</v>
      </c>
      <c r="AJ112" s="84" t="s">
        <v>468</v>
      </c>
      <c r="AK112" s="84" t="s">
        <v>469</v>
      </c>
      <c r="AL112" s="93">
        <v>0.438</v>
      </c>
      <c r="AM112" s="72" t="str">
        <f ca="1">[1]!thsiFinD("ths_the_sw_industry_stock",AJ112,100,$A$1)</f>
        <v>医药生物</v>
      </c>
      <c r="AO112" s="92">
        <v>46104</v>
      </c>
      <c r="AP112" s="84" t="s">
        <v>1326</v>
      </c>
      <c r="AQ112" s="84" t="s">
        <v>1327</v>
      </c>
      <c r="AR112" s="93">
        <v>0.33700000000000002</v>
      </c>
      <c r="AS112" s="72" t="str">
        <f ca="1">[1]!thsiFinD("ths_the_sw_industry_stock",AP112,100,$A$1)</f>
        <v>通信</v>
      </c>
    </row>
    <row r="113" spans="2:45" ht="14.25">
      <c r="B113" s="33" t="s">
        <v>117</v>
      </c>
      <c r="C113" s="102">
        <v>1.5689999999999997</v>
      </c>
      <c r="D113" s="97"/>
      <c r="W113" s="92">
        <v>46013</v>
      </c>
      <c r="X113" s="84" t="s">
        <v>141</v>
      </c>
      <c r="Y113" s="84" t="s">
        <v>142</v>
      </c>
      <c r="Z113" s="93"/>
      <c r="AA113" s="72" t="str">
        <f ca="1">[1]!thsiFinD("ths_the_sw_industry_stock",X113,100,$A$1)</f>
        <v>电子</v>
      </c>
      <c r="AI113" s="92">
        <v>46104</v>
      </c>
      <c r="AJ113" s="84" t="s">
        <v>474</v>
      </c>
      <c r="AK113" s="84" t="s">
        <v>475</v>
      </c>
      <c r="AL113" s="93">
        <v>0.11700000000000001</v>
      </c>
      <c r="AM113" s="72" t="str">
        <f ca="1">[1]!thsiFinD("ths_the_sw_industry_stock",AJ113,100,$A$1)</f>
        <v>电子</v>
      </c>
      <c r="AO113" s="92">
        <v>46104</v>
      </c>
      <c r="AP113" s="84" t="s">
        <v>1328</v>
      </c>
      <c r="AQ113" s="84" t="s">
        <v>1329</v>
      </c>
      <c r="AR113" s="93">
        <v>0.251</v>
      </c>
      <c r="AS113" s="72" t="str">
        <f ca="1">[1]!thsiFinD("ths_the_sw_industry_stock",AP113,100,$A$1)</f>
        <v>医药生物</v>
      </c>
    </row>
    <row r="114" spans="2:45" ht="14.25">
      <c r="B114" s="33" t="s">
        <v>118</v>
      </c>
      <c r="C114" s="102">
        <v>2.1850000000000001</v>
      </c>
      <c r="D114" s="97"/>
      <c r="W114" s="92">
        <v>46013</v>
      </c>
      <c r="X114" s="84" t="s">
        <v>137</v>
      </c>
      <c r="Y114" s="84" t="s">
        <v>138</v>
      </c>
      <c r="Z114" s="93">
        <v>0.45810000000000001</v>
      </c>
      <c r="AA114" s="72" t="str">
        <f ca="1">[1]!thsiFinD("ths_the_sw_industry_stock",X114,100,$A$1)</f>
        <v>国防军工</v>
      </c>
      <c r="AI114" s="92">
        <v>46104</v>
      </c>
      <c r="AJ114" s="84" t="s">
        <v>476</v>
      </c>
      <c r="AK114" s="84" t="s">
        <v>477</v>
      </c>
      <c r="AL114" s="93">
        <v>0.16200000000000001</v>
      </c>
      <c r="AM114" s="72" t="str">
        <f ca="1">[1]!thsiFinD("ths_the_sw_industry_stock",AJ114,100,$A$1)</f>
        <v>计算机</v>
      </c>
      <c r="AO114" s="92">
        <v>46104</v>
      </c>
      <c r="AP114" s="84" t="s">
        <v>1330</v>
      </c>
      <c r="AQ114" s="84" t="s">
        <v>1331</v>
      </c>
      <c r="AR114" s="93">
        <v>0.11</v>
      </c>
      <c r="AS114" s="72" t="str">
        <f ca="1">[1]!thsiFinD("ths_the_sw_industry_stock",AP114,100,$A$1)</f>
        <v>农林牧渔</v>
      </c>
    </row>
    <row r="115" spans="2:45">
      <c r="B115" s="33" t="s">
        <v>63</v>
      </c>
      <c r="C115" s="102">
        <v>6.2749999999999995</v>
      </c>
      <c r="AI115" s="92">
        <v>46104</v>
      </c>
      <c r="AJ115" s="84" t="s">
        <v>478</v>
      </c>
      <c r="AK115" s="84" t="s">
        <v>479</v>
      </c>
      <c r="AL115" s="93">
        <v>0.08</v>
      </c>
      <c r="AM115" s="72" t="str">
        <f ca="1">[1]!thsiFinD("ths_the_sw_industry_stock",AJ115,100,$A$1)</f>
        <v>医药生物</v>
      </c>
      <c r="AO115" s="92">
        <v>46104</v>
      </c>
      <c r="AP115" s="84" t="s">
        <v>1332</v>
      </c>
      <c r="AQ115" s="84" t="s">
        <v>1333</v>
      </c>
      <c r="AR115" s="93">
        <v>0.14199999999999999</v>
      </c>
      <c r="AS115" s="72" t="str">
        <f ca="1">[1]!thsiFinD("ths_the_sw_industry_stock",AP115,100,$A$1)</f>
        <v>基础化工</v>
      </c>
    </row>
    <row r="116" spans="2:45">
      <c r="B116" s="33" t="s">
        <v>108</v>
      </c>
      <c r="C116" s="102">
        <v>0.75499999999999989</v>
      </c>
      <c r="AI116" s="92">
        <v>46104</v>
      </c>
      <c r="AJ116" s="84" t="s">
        <v>482</v>
      </c>
      <c r="AK116" s="84" t="s">
        <v>483</v>
      </c>
      <c r="AL116" s="93">
        <v>8.1000000000000003E-2</v>
      </c>
      <c r="AM116" s="72" t="str">
        <f ca="1">[1]!thsiFinD("ths_the_sw_industry_stock",AJ116,100,$A$1)</f>
        <v>电子</v>
      </c>
      <c r="AO116" s="92">
        <v>46104</v>
      </c>
      <c r="AP116" s="84" t="s">
        <v>1334</v>
      </c>
      <c r="AQ116" s="84" t="s">
        <v>1335</v>
      </c>
      <c r="AR116" s="93">
        <v>0.217</v>
      </c>
      <c r="AS116" s="72" t="str">
        <f ca="1">[1]!thsiFinD("ths_the_sw_industry_stock",AP116,100,$A$1)</f>
        <v>钢铁</v>
      </c>
    </row>
    <row r="117" spans="2:45">
      <c r="B117" s="33" t="s">
        <v>68</v>
      </c>
      <c r="C117" s="102">
        <v>6.8820000000000006</v>
      </c>
      <c r="AI117" s="92">
        <v>46104</v>
      </c>
      <c r="AJ117" s="84" t="s">
        <v>486</v>
      </c>
      <c r="AK117" s="84" t="s">
        <v>487</v>
      </c>
      <c r="AL117" s="93">
        <v>8.4000000000000005E-2</v>
      </c>
      <c r="AM117" s="72" t="str">
        <f ca="1">[1]!thsiFinD("ths_the_sw_industry_stock",AJ117,100,$A$1)</f>
        <v>美容护理</v>
      </c>
      <c r="AO117" s="92">
        <v>46104</v>
      </c>
      <c r="AP117" s="84" t="s">
        <v>1336</v>
      </c>
      <c r="AQ117" s="84" t="s">
        <v>1337</v>
      </c>
      <c r="AR117" s="93">
        <v>0.20699999999999999</v>
      </c>
      <c r="AS117" s="72" t="str">
        <f ca="1">[1]!thsiFinD("ths_the_sw_industry_stock",AP117,100,$A$1)</f>
        <v>电力设备</v>
      </c>
    </row>
    <row r="118" spans="2:45">
      <c r="B118" s="33" t="s">
        <v>109</v>
      </c>
      <c r="C118" s="102">
        <v>5.1249999999999991</v>
      </c>
      <c r="AI118" s="92">
        <v>46104</v>
      </c>
      <c r="AJ118" s="84" t="s">
        <v>494</v>
      </c>
      <c r="AK118" s="84" t="s">
        <v>495</v>
      </c>
      <c r="AL118" s="93">
        <v>3.2000000000000001E-2</v>
      </c>
      <c r="AM118" s="72" t="str">
        <f ca="1">[1]!thsiFinD("ths_the_sw_industry_stock",AJ118,100,$A$1)</f>
        <v>纺织服饰</v>
      </c>
      <c r="AO118" s="92">
        <v>46104</v>
      </c>
      <c r="AP118" s="84" t="s">
        <v>1338</v>
      </c>
      <c r="AQ118" s="84" t="s">
        <v>1339</v>
      </c>
      <c r="AR118" s="93">
        <v>0.46600000000000003</v>
      </c>
      <c r="AS118" s="72" t="str">
        <f ca="1">[1]!thsiFinD("ths_the_sw_industry_stock",AP118,100,$A$1)</f>
        <v>电力设备</v>
      </c>
    </row>
    <row r="119" spans="2:45">
      <c r="B119" s="33" t="s">
        <v>54</v>
      </c>
      <c r="C119" s="102">
        <v>4.9979999999999984</v>
      </c>
      <c r="AI119" s="92">
        <v>46104</v>
      </c>
      <c r="AJ119" s="84" t="s">
        <v>496</v>
      </c>
      <c r="AK119" s="84" t="s">
        <v>497</v>
      </c>
      <c r="AL119" s="93">
        <v>6.8000000000000005E-2</v>
      </c>
      <c r="AM119" s="72" t="str">
        <f ca="1">[1]!thsiFinD("ths_the_sw_industry_stock",AJ119,100,$A$1)</f>
        <v>农林牧渔</v>
      </c>
      <c r="AO119" s="92">
        <v>46104</v>
      </c>
      <c r="AP119" s="84" t="s">
        <v>1340</v>
      </c>
      <c r="AQ119" s="84" t="s">
        <v>1341</v>
      </c>
      <c r="AR119" s="93">
        <v>0.66100000000000003</v>
      </c>
      <c r="AS119" s="72" t="str">
        <f ca="1">[1]!thsiFinD("ths_the_sw_industry_stock",AP119,100,$A$1)</f>
        <v>机械设备</v>
      </c>
    </row>
    <row r="120" spans="2:45">
      <c r="B120" s="33" t="s">
        <v>114</v>
      </c>
      <c r="C120" s="102">
        <v>0.78800000000000003</v>
      </c>
      <c r="AI120" s="92">
        <v>46104</v>
      </c>
      <c r="AJ120" s="84" t="s">
        <v>502</v>
      </c>
      <c r="AK120" s="84" t="s">
        <v>503</v>
      </c>
      <c r="AL120" s="93">
        <v>0.128</v>
      </c>
      <c r="AM120" s="72" t="str">
        <f ca="1">[1]!thsiFinD("ths_the_sw_industry_stock",AJ120,100,$A$1)</f>
        <v>计算机</v>
      </c>
      <c r="AO120" s="92">
        <v>46104</v>
      </c>
      <c r="AP120" s="84" t="s">
        <v>1342</v>
      </c>
      <c r="AQ120" s="84" t="s">
        <v>1343</v>
      </c>
      <c r="AR120" s="93">
        <v>7.1999999999999995E-2</v>
      </c>
      <c r="AS120" s="72" t="str">
        <f ca="1">[1]!thsiFinD("ths_the_sw_industry_stock",AP120,100,$A$1)</f>
        <v>建筑材料</v>
      </c>
    </row>
    <row r="121" spans="2:45">
      <c r="B121" s="33" t="s">
        <v>119</v>
      </c>
      <c r="C121" s="102">
        <v>0.98599999999999999</v>
      </c>
      <c r="AI121" s="92">
        <v>46104</v>
      </c>
      <c r="AJ121" s="84" t="s">
        <v>504</v>
      </c>
      <c r="AK121" s="84" t="s">
        <v>505</v>
      </c>
      <c r="AL121" s="93">
        <v>8.5999999999999993E-2</v>
      </c>
      <c r="AM121" s="72" t="str">
        <f ca="1">[1]!thsiFinD("ths_the_sw_industry_stock",AJ121,100,$A$1)</f>
        <v>计算机</v>
      </c>
      <c r="AO121" s="92">
        <v>46104</v>
      </c>
      <c r="AP121" s="84" t="s">
        <v>1344</v>
      </c>
      <c r="AQ121" s="84" t="s">
        <v>1345</v>
      </c>
      <c r="AR121" s="93">
        <v>0.128</v>
      </c>
      <c r="AS121" s="72" t="str">
        <f ca="1">[1]!thsiFinD("ths_the_sw_industry_stock",AP121,100,$A$1)</f>
        <v>农林牧渔</v>
      </c>
    </row>
    <row r="122" spans="2:45">
      <c r="B122" s="33" t="s">
        <v>120</v>
      </c>
      <c r="C122" s="102">
        <v>0.77100000000000013</v>
      </c>
      <c r="AI122" s="92">
        <v>46104</v>
      </c>
      <c r="AJ122" s="84" t="s">
        <v>518</v>
      </c>
      <c r="AK122" s="84" t="s">
        <v>519</v>
      </c>
      <c r="AL122" s="93">
        <v>9.0999999999999998E-2</v>
      </c>
      <c r="AM122" s="72" t="str">
        <f ca="1">[1]!thsiFinD("ths_the_sw_industry_stock",AJ122,100,$A$1)</f>
        <v>国防军工</v>
      </c>
      <c r="AO122" s="92">
        <v>46104</v>
      </c>
      <c r="AP122" s="84" t="s">
        <v>1346</v>
      </c>
      <c r="AQ122" s="84" t="s">
        <v>1347</v>
      </c>
      <c r="AR122" s="93">
        <v>0.309</v>
      </c>
      <c r="AS122" s="72" t="str">
        <f ca="1">[1]!thsiFinD("ths_the_sw_industry_stock",AP122,100,$A$1)</f>
        <v>电子</v>
      </c>
    </row>
    <row r="123" spans="2:45">
      <c r="B123" s="33" t="s">
        <v>121</v>
      </c>
      <c r="C123" s="102">
        <v>1.6650000000000005</v>
      </c>
      <c r="AI123" s="92">
        <v>46104</v>
      </c>
      <c r="AJ123" s="84" t="s">
        <v>789</v>
      </c>
      <c r="AK123" s="84" t="s">
        <v>790</v>
      </c>
      <c r="AL123" s="93">
        <v>0.504</v>
      </c>
      <c r="AM123" s="72" t="str">
        <f ca="1">[1]!thsiFinD("ths_the_sw_industry_stock",AJ123,100,$A$1)</f>
        <v>银行</v>
      </c>
      <c r="AO123" s="92">
        <v>46104</v>
      </c>
      <c r="AP123" s="84" t="s">
        <v>1348</v>
      </c>
      <c r="AQ123" s="84" t="s">
        <v>1349</v>
      </c>
      <c r="AR123" s="93">
        <v>0.251</v>
      </c>
      <c r="AS123" s="72" t="str">
        <f ca="1">[1]!thsiFinD("ths_the_sw_industry_stock",AP123,100,$A$1)</f>
        <v>电子</v>
      </c>
    </row>
    <row r="124" spans="2:45">
      <c r="B124" s="33" t="s">
        <v>122</v>
      </c>
      <c r="C124" s="102">
        <v>1.8180000000000001</v>
      </c>
      <c r="AI124" s="92">
        <v>46104</v>
      </c>
      <c r="AJ124" s="84" t="s">
        <v>791</v>
      </c>
      <c r="AK124" s="84" t="s">
        <v>792</v>
      </c>
      <c r="AL124" s="93">
        <v>0.14799999999999999</v>
      </c>
      <c r="AM124" s="72" t="str">
        <f ca="1">[1]!thsiFinD("ths_the_sw_industry_stock",AJ124,100,$A$1)</f>
        <v>交通运输</v>
      </c>
      <c r="AO124" s="92">
        <v>46104</v>
      </c>
      <c r="AP124" s="84" t="s">
        <v>1350</v>
      </c>
      <c r="AQ124" s="84" t="s">
        <v>1351</v>
      </c>
      <c r="AR124" s="93">
        <v>0.21199999999999999</v>
      </c>
      <c r="AS124" s="72" t="str">
        <f ca="1">[1]!thsiFinD("ths_the_sw_industry_stock",AP124,100,$A$1)</f>
        <v>计算机</v>
      </c>
    </row>
    <row r="125" spans="2:45">
      <c r="B125" s="33" t="s">
        <v>69</v>
      </c>
      <c r="C125" s="102">
        <v>0.40699999999999997</v>
      </c>
      <c r="AI125" s="92">
        <v>46104</v>
      </c>
      <c r="AJ125" s="84" t="s">
        <v>793</v>
      </c>
      <c r="AK125" s="84" t="s">
        <v>794</v>
      </c>
      <c r="AL125" s="93">
        <v>0.28499999999999998</v>
      </c>
      <c r="AM125" s="72" t="str">
        <f ca="1">[1]!thsiFinD("ths_the_sw_industry_stock",AJ125,100,$A$1)</f>
        <v>钢铁</v>
      </c>
      <c r="AO125" s="92">
        <v>46104</v>
      </c>
      <c r="AP125" s="84" t="s">
        <v>1352</v>
      </c>
      <c r="AQ125" s="84" t="s">
        <v>1353</v>
      </c>
      <c r="AR125" s="93">
        <v>0.24399999999999999</v>
      </c>
      <c r="AS125" s="72" t="str">
        <f ca="1">[1]!thsiFinD("ths_the_sw_industry_stock",AP125,100,$A$1)</f>
        <v>国防军工</v>
      </c>
    </row>
    <row r="126" spans="2:45">
      <c r="B126" s="33" t="s">
        <v>110</v>
      </c>
      <c r="C126" s="102">
        <v>0.90400000000000003</v>
      </c>
      <c r="AI126" s="92">
        <v>46104</v>
      </c>
      <c r="AJ126" s="84" t="s">
        <v>795</v>
      </c>
      <c r="AK126" s="84" t="s">
        <v>796</v>
      </c>
      <c r="AL126" s="93">
        <v>0.124</v>
      </c>
      <c r="AM126" s="72" t="str">
        <f ca="1">[1]!thsiFinD("ths_the_sw_industry_stock",AJ126,100,$A$1)</f>
        <v>公用事业</v>
      </c>
      <c r="AO126" s="92">
        <v>46104</v>
      </c>
      <c r="AP126" s="84" t="s">
        <v>1354</v>
      </c>
      <c r="AQ126" s="84" t="s">
        <v>200</v>
      </c>
      <c r="AR126" s="93">
        <v>9.4E-2</v>
      </c>
      <c r="AS126" s="72" t="str">
        <f ca="1">[1]!thsiFinD("ths_the_sw_industry_stock",AP126,100,$A$1)</f>
        <v>非银金融</v>
      </c>
    </row>
    <row r="127" spans="2:45">
      <c r="B127" s="33" t="s">
        <v>115</v>
      </c>
      <c r="C127" s="102">
        <v>4.1840000000000002</v>
      </c>
      <c r="AI127" s="92">
        <v>46104</v>
      </c>
      <c r="AJ127" s="84" t="s">
        <v>797</v>
      </c>
      <c r="AK127" s="84" t="s">
        <v>798</v>
      </c>
      <c r="AL127" s="93">
        <v>0.16600000000000001</v>
      </c>
      <c r="AM127" s="72" t="str">
        <f ca="1">[1]!thsiFinD("ths_the_sw_industry_stock",AJ127,100,$A$1)</f>
        <v>银行</v>
      </c>
      <c r="AO127" s="92">
        <v>46104</v>
      </c>
      <c r="AP127" s="84" t="s">
        <v>1355</v>
      </c>
      <c r="AQ127" s="84" t="s">
        <v>1356</v>
      </c>
      <c r="AR127" s="93">
        <v>0.222</v>
      </c>
      <c r="AS127" s="72" t="str">
        <f ca="1">[1]!thsiFinD("ths_the_sw_industry_stock",AP127,100,$A$1)</f>
        <v>家用电器</v>
      </c>
    </row>
    <row r="128" spans="2:45">
      <c r="B128" s="33" t="s">
        <v>123</v>
      </c>
      <c r="C128" s="102">
        <v>0.745</v>
      </c>
      <c r="AI128" s="92">
        <v>46104</v>
      </c>
      <c r="AJ128" s="84" t="s">
        <v>799</v>
      </c>
      <c r="AK128" s="84" t="s">
        <v>800</v>
      </c>
      <c r="AL128" s="93">
        <v>0.375</v>
      </c>
      <c r="AM128" s="72" t="str">
        <f ca="1">[1]!thsiFinD("ths_the_sw_industry_stock",AJ128,100,$A$1)</f>
        <v>银行</v>
      </c>
      <c r="AO128" s="92">
        <v>46104</v>
      </c>
      <c r="AP128" s="84" t="s">
        <v>1357</v>
      </c>
      <c r="AQ128" s="84" t="s">
        <v>1358</v>
      </c>
      <c r="AR128" s="93">
        <v>0.14599999999999999</v>
      </c>
      <c r="AS128" s="72" t="str">
        <f ca="1">[1]!thsiFinD("ths_the_sw_industry_stock",AP128,100,$A$1)</f>
        <v>基础化工</v>
      </c>
    </row>
    <row r="129" spans="2:45">
      <c r="B129" s="33" t="s">
        <v>124</v>
      </c>
      <c r="C129" s="102">
        <v>0.23899999999999999</v>
      </c>
      <c r="AI129" s="92">
        <v>46104</v>
      </c>
      <c r="AJ129" s="84" t="s">
        <v>801</v>
      </c>
      <c r="AK129" s="84" t="s">
        <v>802</v>
      </c>
      <c r="AL129" s="93">
        <v>5.5E-2</v>
      </c>
      <c r="AM129" s="72" t="str">
        <f ca="1">[1]!thsiFinD("ths_the_sw_industry_stock",AJ129,100,$A$1)</f>
        <v>交通运输</v>
      </c>
      <c r="AO129" s="92">
        <v>46104</v>
      </c>
      <c r="AP129" s="84" t="s">
        <v>1359</v>
      </c>
      <c r="AQ129" s="84" t="s">
        <v>1360</v>
      </c>
      <c r="AR129" s="93">
        <v>0.13300000000000001</v>
      </c>
      <c r="AS129" s="72" t="str">
        <f ca="1">[1]!thsiFinD("ths_the_sw_industry_stock",AP129,100,$A$1)</f>
        <v>医药生物</v>
      </c>
    </row>
    <row r="130" spans="2:45">
      <c r="B130" s="33" t="s">
        <v>111</v>
      </c>
      <c r="C130" s="102">
        <v>0.625</v>
      </c>
      <c r="AI130" s="92">
        <v>46104</v>
      </c>
      <c r="AJ130" s="84" t="s">
        <v>803</v>
      </c>
      <c r="AK130" s="84" t="s">
        <v>804</v>
      </c>
      <c r="AL130" s="93">
        <v>0.24399999999999999</v>
      </c>
      <c r="AM130" s="72" t="str">
        <f ca="1">[1]!thsiFinD("ths_the_sw_industry_stock",AJ130,100,$A$1)</f>
        <v>钢铁</v>
      </c>
      <c r="AO130" s="92">
        <v>46104</v>
      </c>
      <c r="AP130" s="84" t="s">
        <v>1361</v>
      </c>
      <c r="AQ130" s="84" t="s">
        <v>1362</v>
      </c>
      <c r="AR130" s="93">
        <v>0.40500000000000003</v>
      </c>
      <c r="AS130" s="72" t="str">
        <f ca="1">[1]!thsiFinD("ths_the_sw_industry_stock",AP130,100,$A$1)</f>
        <v>电子</v>
      </c>
    </row>
    <row r="131" spans="2:45">
      <c r="B131" s="33" t="s">
        <v>125</v>
      </c>
      <c r="C131" s="102">
        <v>1.014</v>
      </c>
      <c r="AI131" s="92">
        <v>46104</v>
      </c>
      <c r="AJ131" s="84" t="s">
        <v>805</v>
      </c>
      <c r="AK131" s="84" t="s">
        <v>806</v>
      </c>
      <c r="AL131" s="93">
        <v>8.3000000000000004E-2</v>
      </c>
      <c r="AM131" s="72" t="str">
        <f ca="1">[1]!thsiFinD("ths_the_sw_industry_stock",AJ131,100,$A$1)</f>
        <v>公用事业</v>
      </c>
      <c r="AO131" s="92">
        <v>46104</v>
      </c>
      <c r="AP131" s="84" t="s">
        <v>1363</v>
      </c>
      <c r="AQ131" s="84" t="s">
        <v>1364</v>
      </c>
      <c r="AR131" s="93">
        <v>9.7000000000000003E-2</v>
      </c>
      <c r="AS131" s="72" t="str">
        <f ca="1">[1]!thsiFinD("ths_the_sw_industry_stock",AP131,100,$A$1)</f>
        <v>计算机</v>
      </c>
    </row>
    <row r="132" spans="2:45">
      <c r="B132" s="33" t="s">
        <v>112</v>
      </c>
      <c r="C132" s="102">
        <v>1.3860000000000001</v>
      </c>
      <c r="AI132" s="92">
        <v>46104</v>
      </c>
      <c r="AJ132" s="84" t="s">
        <v>807</v>
      </c>
      <c r="AK132" s="84" t="s">
        <v>808</v>
      </c>
      <c r="AL132" s="93">
        <v>6.8000000000000005E-2</v>
      </c>
      <c r="AM132" s="72" t="str">
        <f ca="1">[1]!thsiFinD("ths_the_sw_industry_stock",AJ132,100,$A$1)</f>
        <v>公用事业</v>
      </c>
      <c r="AO132" s="92">
        <v>46104</v>
      </c>
      <c r="AP132" s="84" t="s">
        <v>1365</v>
      </c>
      <c r="AQ132" s="84" t="s">
        <v>1366</v>
      </c>
      <c r="AR132" s="93">
        <v>0.23499999999999999</v>
      </c>
      <c r="AS132" s="72" t="str">
        <f ca="1">[1]!thsiFinD("ths_the_sw_industry_stock",AP132,100,$A$1)</f>
        <v>机械设备</v>
      </c>
    </row>
    <row r="133" spans="2:45">
      <c r="B133" s="33" t="s">
        <v>62</v>
      </c>
      <c r="C133" s="102">
        <v>3.1070000000000002</v>
      </c>
      <c r="AI133" s="92">
        <v>46104</v>
      </c>
      <c r="AJ133" s="84" t="s">
        <v>809</v>
      </c>
      <c r="AK133" s="84" t="s">
        <v>810</v>
      </c>
      <c r="AL133" s="93">
        <v>0.13400000000000001</v>
      </c>
      <c r="AM133" s="72" t="str">
        <f ca="1">[1]!thsiFinD("ths_the_sw_industry_stock",AJ133,100,$A$1)</f>
        <v>交通运输</v>
      </c>
      <c r="AO133" s="92">
        <v>46104</v>
      </c>
      <c r="AP133" s="84" t="s">
        <v>1367</v>
      </c>
      <c r="AQ133" s="84" t="s">
        <v>1368</v>
      </c>
      <c r="AR133" s="93">
        <v>3.9E-2</v>
      </c>
      <c r="AS133" s="72" t="str">
        <f ca="1">[1]!thsiFinD("ths_the_sw_industry_stock",AP133,100,$A$1)</f>
        <v>食品饮料</v>
      </c>
    </row>
    <row r="134" spans="2:45">
      <c r="B134" s="33" t="s">
        <v>64</v>
      </c>
      <c r="C134" s="102">
        <v>6.5619999999999994</v>
      </c>
      <c r="AI134" s="92">
        <v>46104</v>
      </c>
      <c r="AJ134" s="84" t="s">
        <v>811</v>
      </c>
      <c r="AK134" s="84" t="s">
        <v>812</v>
      </c>
      <c r="AL134" s="93">
        <v>7.9000000000000001E-2</v>
      </c>
      <c r="AM134" s="72" t="str">
        <f ca="1">[1]!thsiFinD("ths_the_sw_industry_stock",AJ134,100,$A$1)</f>
        <v>公用事业</v>
      </c>
      <c r="AO134" s="92">
        <v>46104</v>
      </c>
      <c r="AP134" s="84" t="s">
        <v>1369</v>
      </c>
      <c r="AQ134" s="84" t="s">
        <v>1370</v>
      </c>
      <c r="AR134" s="93">
        <v>0.32200000000000001</v>
      </c>
      <c r="AS134" s="72" t="str">
        <f ca="1">[1]!thsiFinD("ths_the_sw_industry_stock",AP134,100,$A$1)</f>
        <v>国防军工</v>
      </c>
    </row>
    <row r="135" spans="2:45">
      <c r="B135" s="33" t="s">
        <v>126</v>
      </c>
      <c r="C135" s="102">
        <v>1.2789999999999999</v>
      </c>
      <c r="AI135" s="92">
        <v>46104</v>
      </c>
      <c r="AJ135" s="84" t="s">
        <v>813</v>
      </c>
      <c r="AK135" s="84" t="s">
        <v>814</v>
      </c>
      <c r="AL135" s="93">
        <v>0.36599999999999999</v>
      </c>
      <c r="AM135" s="72" t="str">
        <f ca="1">[1]!thsiFinD("ths_the_sw_industry_stock",AJ135,100,$A$1)</f>
        <v>石油石化</v>
      </c>
      <c r="AO135" s="92">
        <v>46104</v>
      </c>
      <c r="AP135" s="84" t="s">
        <v>1371</v>
      </c>
      <c r="AQ135" s="84" t="s">
        <v>1372</v>
      </c>
      <c r="AR135" s="93">
        <v>0.25800000000000001</v>
      </c>
      <c r="AS135" s="72" t="str">
        <f ca="1">[1]!thsiFinD("ths_the_sw_industry_stock",AP135,100,$A$1)</f>
        <v>汽车</v>
      </c>
    </row>
    <row r="136" spans="2:45">
      <c r="B136" s="33" t="s">
        <v>113</v>
      </c>
      <c r="C136" s="102">
        <v>8.4230000000000018</v>
      </c>
      <c r="AI136" s="92">
        <v>46104</v>
      </c>
      <c r="AJ136" s="84" t="s">
        <v>815</v>
      </c>
      <c r="AK136" s="84" t="s">
        <v>816</v>
      </c>
      <c r="AL136" s="93">
        <v>0.154</v>
      </c>
      <c r="AM136" s="72" t="str">
        <f ca="1">[1]!thsiFinD("ths_the_sw_industry_stock",AJ136,100,$A$1)</f>
        <v>交通运输</v>
      </c>
      <c r="AO136" s="92">
        <v>46104</v>
      </c>
      <c r="AP136" s="84" t="s">
        <v>1373</v>
      </c>
      <c r="AQ136" s="84" t="s">
        <v>1374</v>
      </c>
      <c r="AR136" s="93">
        <v>0.11899999999999999</v>
      </c>
      <c r="AS136" s="72" t="str">
        <f ca="1">[1]!thsiFinD("ths_the_sw_industry_stock",AP136,100,$A$1)</f>
        <v>非银金融</v>
      </c>
    </row>
    <row r="137" spans="2:45">
      <c r="B137" s="33" t="s">
        <v>127</v>
      </c>
      <c r="C137" s="102">
        <v>0.52200000000000002</v>
      </c>
      <c r="AI137" s="92">
        <v>46104</v>
      </c>
      <c r="AJ137" s="84" t="s">
        <v>817</v>
      </c>
      <c r="AK137" s="84" t="s">
        <v>818</v>
      </c>
      <c r="AL137" s="93">
        <v>1.0389999999999999</v>
      </c>
      <c r="AM137" s="72" t="str">
        <f ca="1">[1]!thsiFinD("ths_the_sw_industry_stock",AJ137,100,$A$1)</f>
        <v>非银金融</v>
      </c>
      <c r="AO137" s="92">
        <v>46104</v>
      </c>
      <c r="AP137" s="84" t="s">
        <v>1375</v>
      </c>
      <c r="AQ137" s="84" t="s">
        <v>1376</v>
      </c>
      <c r="AR137" s="93">
        <v>9.0999999999999998E-2</v>
      </c>
      <c r="AS137" s="72" t="str">
        <f ca="1">[1]!thsiFinD("ths_the_sw_industry_stock",AP137,100,$A$1)</f>
        <v>家用电器</v>
      </c>
    </row>
    <row r="138" spans="2:45">
      <c r="B138" s="33" t="s">
        <v>143</v>
      </c>
      <c r="C138" s="102">
        <v>0.4</v>
      </c>
      <c r="AI138" s="92">
        <v>46104</v>
      </c>
      <c r="AJ138" s="84" t="s">
        <v>819</v>
      </c>
      <c r="AK138" s="84" t="s">
        <v>820</v>
      </c>
      <c r="AL138" s="93">
        <v>0.53400000000000003</v>
      </c>
      <c r="AM138" s="72" t="str">
        <f ca="1">[1]!thsiFinD("ths_the_sw_industry_stock",AJ138,100,$A$1)</f>
        <v>机械设备</v>
      </c>
      <c r="AO138" s="92">
        <v>46104</v>
      </c>
      <c r="AP138" s="84" t="s">
        <v>1377</v>
      </c>
      <c r="AQ138" s="84" t="s">
        <v>1378</v>
      </c>
      <c r="AR138" s="93">
        <v>0.35599999999999998</v>
      </c>
      <c r="AS138" s="72" t="str">
        <f ca="1">[1]!thsiFinD("ths_the_sw_industry_stock",AP138,100,$A$1)</f>
        <v>传媒</v>
      </c>
    </row>
    <row r="139" spans="2:45">
      <c r="B139" s="33" t="s">
        <v>74</v>
      </c>
      <c r="C139" s="102">
        <v>100.42700000000001</v>
      </c>
      <c r="AI139" s="92">
        <v>46104</v>
      </c>
      <c r="AJ139" s="84" t="s">
        <v>821</v>
      </c>
      <c r="AK139" s="84" t="s">
        <v>822</v>
      </c>
      <c r="AL139" s="93">
        <v>1.8660000000000001</v>
      </c>
      <c r="AM139" s="72" t="str">
        <f ca="1">[1]!thsiFinD("ths_the_sw_industry_stock",AJ139,100,$A$1)</f>
        <v>银行</v>
      </c>
      <c r="AO139" s="92">
        <v>46104</v>
      </c>
      <c r="AP139" s="84" t="s">
        <v>1379</v>
      </c>
      <c r="AQ139" s="84" t="s">
        <v>1380</v>
      </c>
      <c r="AR139" s="93">
        <v>0.45200000000000001</v>
      </c>
      <c r="AS139" s="72" t="str">
        <f ca="1">[1]!thsiFinD("ths_the_sw_industry_stock",AP139,100,$A$1)</f>
        <v>有色金属</v>
      </c>
    </row>
    <row r="140" spans="2:45">
      <c r="AI140" s="92">
        <v>46104</v>
      </c>
      <c r="AJ140" s="84" t="s">
        <v>823</v>
      </c>
      <c r="AK140" s="84" t="s">
        <v>824</v>
      </c>
      <c r="AL140" s="93">
        <v>0.10100000000000001</v>
      </c>
      <c r="AM140" s="72" t="str">
        <f ca="1">[1]!thsiFinD("ths_the_sw_industry_stock",AJ140,100,$A$1)</f>
        <v>建筑装饰</v>
      </c>
      <c r="AO140" s="92">
        <v>46104</v>
      </c>
      <c r="AP140" s="84" t="s">
        <v>1381</v>
      </c>
      <c r="AQ140" s="84" t="s">
        <v>1382</v>
      </c>
      <c r="AR140" s="93">
        <v>0.46100000000000002</v>
      </c>
      <c r="AS140" s="72" t="str">
        <f ca="1">[1]!thsiFinD("ths_the_sw_industry_stock",AP140,100,$A$1)</f>
        <v>传媒</v>
      </c>
    </row>
    <row r="141" spans="2:45">
      <c r="AI141" s="92">
        <v>46104</v>
      </c>
      <c r="AJ141" s="84" t="s">
        <v>825</v>
      </c>
      <c r="AK141" s="84" t="s">
        <v>826</v>
      </c>
      <c r="AL141" s="93">
        <v>0.19</v>
      </c>
      <c r="AM141" s="72" t="str">
        <f ca="1">[1]!thsiFinD("ths_the_sw_industry_stock",AJ141,100,$A$1)</f>
        <v>房地产</v>
      </c>
      <c r="AO141" s="92">
        <v>46104</v>
      </c>
      <c r="AP141" s="84" t="s">
        <v>1383</v>
      </c>
      <c r="AQ141" s="84" t="s">
        <v>1384</v>
      </c>
      <c r="AR141" s="93">
        <v>9.2999999999999999E-2</v>
      </c>
      <c r="AS141" s="72" t="str">
        <f ca="1">[1]!thsiFinD("ths_the_sw_industry_stock",AP141,100,$A$1)</f>
        <v>食品饮料</v>
      </c>
    </row>
    <row r="142" spans="2:45">
      <c r="AI142" s="92">
        <v>46104</v>
      </c>
      <c r="AJ142" s="84" t="s">
        <v>827</v>
      </c>
      <c r="AK142" s="84" t="s">
        <v>828</v>
      </c>
      <c r="AL142" s="93">
        <v>0.29899999999999999</v>
      </c>
      <c r="AM142" s="72" t="str">
        <f ca="1">[1]!thsiFinD("ths_the_sw_industry_stock",AJ142,100,$A$1)</f>
        <v>通信</v>
      </c>
      <c r="AO142" s="92">
        <v>46104</v>
      </c>
      <c r="AP142" s="84" t="s">
        <v>1385</v>
      </c>
      <c r="AQ142" s="84" t="s">
        <v>1386</v>
      </c>
      <c r="AR142" s="93">
        <v>0.111</v>
      </c>
      <c r="AS142" s="72" t="str">
        <f ca="1">[1]!thsiFinD("ths_the_sw_industry_stock",AP142,100,$A$1)</f>
        <v>通信</v>
      </c>
    </row>
    <row r="143" spans="2:45">
      <c r="AI143" s="92">
        <v>46104</v>
      </c>
      <c r="AJ143" s="84" t="s">
        <v>829</v>
      </c>
      <c r="AK143" s="84" t="s">
        <v>830</v>
      </c>
      <c r="AL143" s="93">
        <v>7.3999999999999996E-2</v>
      </c>
      <c r="AM143" s="72" t="str">
        <f ca="1">[1]!thsiFinD("ths_the_sw_industry_stock",AJ143,100,$A$1)</f>
        <v>非银金融</v>
      </c>
      <c r="AO143" s="92">
        <v>46104</v>
      </c>
      <c r="AP143" s="84" t="s">
        <v>1387</v>
      </c>
      <c r="AQ143" s="84" t="s">
        <v>1388</v>
      </c>
      <c r="AR143" s="93">
        <v>0.35399999999999998</v>
      </c>
      <c r="AS143" s="72" t="str">
        <f ca="1">[1]!thsiFinD("ths_the_sw_industry_stock",AP143,100,$A$1)</f>
        <v>机械设备</v>
      </c>
    </row>
    <row r="144" spans="2:45">
      <c r="AI144" s="92">
        <v>46104</v>
      </c>
      <c r="AJ144" s="84" t="s">
        <v>831</v>
      </c>
      <c r="AK144" s="84" t="s">
        <v>832</v>
      </c>
      <c r="AL144" s="93">
        <v>0.153</v>
      </c>
      <c r="AM144" s="72" t="str">
        <f ca="1">[1]!thsiFinD("ths_the_sw_industry_stock",AJ144,100,$A$1)</f>
        <v>汽车</v>
      </c>
      <c r="AO144" s="92">
        <v>46104</v>
      </c>
      <c r="AP144" s="84" t="s">
        <v>1389</v>
      </c>
      <c r="AQ144" s="84" t="s">
        <v>1390</v>
      </c>
      <c r="AR144" s="93">
        <v>0.13400000000000001</v>
      </c>
      <c r="AS144" s="72" t="str">
        <f ca="1">[1]!thsiFinD("ths_the_sw_industry_stock",AP144,100,$A$1)</f>
        <v>医药生物</v>
      </c>
    </row>
    <row r="145" spans="35:45">
      <c r="AI145" s="92">
        <v>46104</v>
      </c>
      <c r="AJ145" s="84" t="s">
        <v>833</v>
      </c>
      <c r="AK145" s="84" t="s">
        <v>834</v>
      </c>
      <c r="AL145" s="93">
        <v>8.2000000000000003E-2</v>
      </c>
      <c r="AM145" s="72" t="str">
        <f ca="1">[1]!thsiFinD("ths_the_sw_industry_stock",AJ145,100,$A$1)</f>
        <v>医药生物</v>
      </c>
      <c r="AO145" s="92">
        <v>46104</v>
      </c>
      <c r="AP145" s="84" t="s">
        <v>1391</v>
      </c>
      <c r="AQ145" s="84" t="s">
        <v>1392</v>
      </c>
      <c r="AR145" s="93">
        <v>0.13500000000000001</v>
      </c>
      <c r="AS145" s="72" t="str">
        <f ca="1">[1]!thsiFinD("ths_the_sw_industry_stock",AP145,100,$A$1)</f>
        <v>社会服务</v>
      </c>
    </row>
    <row r="146" spans="35:45">
      <c r="AI146" s="92">
        <v>46104</v>
      </c>
      <c r="AJ146" s="84" t="s">
        <v>835</v>
      </c>
      <c r="AK146" s="84" t="s">
        <v>836</v>
      </c>
      <c r="AL146" s="93">
        <v>0.59599999999999997</v>
      </c>
      <c r="AM146" s="72" t="str">
        <f ca="1">[1]!thsiFinD("ths_the_sw_industry_stock",AJ146,100,$A$1)</f>
        <v>电力设备</v>
      </c>
      <c r="AO146" s="92">
        <v>46104</v>
      </c>
      <c r="AP146" s="84" t="s">
        <v>1393</v>
      </c>
      <c r="AQ146" s="84" t="s">
        <v>1394</v>
      </c>
      <c r="AR146" s="93">
        <v>5.7000000000000002E-2</v>
      </c>
      <c r="AS146" s="72" t="str">
        <f ca="1">[1]!thsiFinD("ths_the_sw_industry_stock",AP146,100,$A$1)</f>
        <v>公用事业</v>
      </c>
    </row>
    <row r="147" spans="35:45">
      <c r="AI147" s="92">
        <v>46104</v>
      </c>
      <c r="AJ147" s="84" t="s">
        <v>837</v>
      </c>
      <c r="AK147" s="84" t="s">
        <v>838</v>
      </c>
      <c r="AL147" s="93">
        <v>0.25600000000000001</v>
      </c>
      <c r="AM147" s="72" t="str">
        <f ca="1">[1]!thsiFinD("ths_the_sw_industry_stock",AJ147,100,$A$1)</f>
        <v>汽车</v>
      </c>
      <c r="AO147" s="92">
        <v>46104</v>
      </c>
      <c r="AP147" s="84" t="s">
        <v>1395</v>
      </c>
      <c r="AQ147" s="84" t="s">
        <v>1396</v>
      </c>
      <c r="AR147" s="93">
        <v>0.26900000000000002</v>
      </c>
      <c r="AS147" s="72" t="str">
        <f ca="1">[1]!thsiFinD("ths_the_sw_industry_stock",AP147,100,$A$1)</f>
        <v>传媒</v>
      </c>
    </row>
    <row r="148" spans="35:45">
      <c r="AI148" s="92">
        <v>46104</v>
      </c>
      <c r="AJ148" s="84" t="s">
        <v>839</v>
      </c>
      <c r="AK148" s="84" t="s">
        <v>840</v>
      </c>
      <c r="AL148" s="93">
        <v>0.61399999999999999</v>
      </c>
      <c r="AM148" s="72" t="str">
        <f ca="1">[1]!thsiFinD("ths_the_sw_industry_stock",AJ148,100,$A$1)</f>
        <v>有色金属</v>
      </c>
      <c r="AO148" s="92">
        <v>46104</v>
      </c>
      <c r="AP148" s="84" t="s">
        <v>201</v>
      </c>
      <c r="AQ148" s="84" t="s">
        <v>1397</v>
      </c>
      <c r="AR148" s="93">
        <v>8.5000000000000006E-2</v>
      </c>
      <c r="AS148" s="72" t="str">
        <f ca="1">[1]!thsiFinD("ths_the_sw_industry_stock",AP148,100,$A$1)</f>
        <v>非银金融</v>
      </c>
    </row>
    <row r="149" spans="35:45">
      <c r="AI149" s="92">
        <v>46104</v>
      </c>
      <c r="AJ149" s="84" t="s">
        <v>841</v>
      </c>
      <c r="AK149" s="84" t="s">
        <v>842</v>
      </c>
      <c r="AL149" s="93">
        <v>0.19</v>
      </c>
      <c r="AM149" s="72" t="str">
        <f ca="1">[1]!thsiFinD("ths_the_sw_industry_stock",AJ149,100,$A$1)</f>
        <v>交通运输</v>
      </c>
      <c r="AO149" s="92">
        <v>46104</v>
      </c>
      <c r="AP149" s="84" t="s">
        <v>1398</v>
      </c>
      <c r="AQ149" s="84" t="s">
        <v>1399</v>
      </c>
      <c r="AR149" s="93">
        <v>0.19700000000000001</v>
      </c>
      <c r="AS149" s="72" t="str">
        <f ca="1">[1]!thsiFinD("ths_the_sw_industry_stock",AP149,100,$A$1)</f>
        <v>非银金融</v>
      </c>
    </row>
    <row r="150" spans="35:45">
      <c r="AI150" s="92">
        <v>46104</v>
      </c>
      <c r="AJ150" s="84" t="s">
        <v>843</v>
      </c>
      <c r="AK150" s="84" t="s">
        <v>844</v>
      </c>
      <c r="AL150" s="93">
        <v>0.66300000000000003</v>
      </c>
      <c r="AM150" s="72" t="str">
        <f ca="1">[1]!thsiFinD("ths_the_sw_industry_stock",AJ150,100,$A$1)</f>
        <v>国防军工</v>
      </c>
      <c r="AO150" s="92">
        <v>46104</v>
      </c>
      <c r="AP150" s="84" t="s">
        <v>1400</v>
      </c>
      <c r="AQ150" s="84" t="s">
        <v>1401</v>
      </c>
      <c r="AR150" s="93">
        <v>0.19900000000000001</v>
      </c>
      <c r="AS150" s="72" t="str">
        <f ca="1">[1]!thsiFinD("ths_the_sw_industry_stock",AP150,100,$A$1)</f>
        <v>基础化工</v>
      </c>
    </row>
    <row r="151" spans="35:45">
      <c r="AI151" s="92">
        <v>46104</v>
      </c>
      <c r="AJ151" s="84" t="s">
        <v>845</v>
      </c>
      <c r="AK151" s="84" t="s">
        <v>846</v>
      </c>
      <c r="AL151" s="93">
        <v>0.218</v>
      </c>
      <c r="AM151" s="72" t="str">
        <f ca="1">[1]!thsiFinD("ths_the_sw_industry_stock",AJ151,100,$A$1)</f>
        <v>基础化工</v>
      </c>
      <c r="AO151" s="92">
        <v>46104</v>
      </c>
      <c r="AP151" s="84" t="s">
        <v>1402</v>
      </c>
      <c r="AQ151" s="84" t="s">
        <v>1403</v>
      </c>
      <c r="AR151" s="93">
        <v>0.60199999999999998</v>
      </c>
      <c r="AS151" s="72" t="str">
        <f ca="1">[1]!thsiFinD("ths_the_sw_industry_stock",AP151,100,$A$1)</f>
        <v>有色金属</v>
      </c>
    </row>
    <row r="152" spans="35:45">
      <c r="AI152" s="92">
        <v>46104</v>
      </c>
      <c r="AJ152" s="84" t="s">
        <v>847</v>
      </c>
      <c r="AK152" s="84" t="s">
        <v>848</v>
      </c>
      <c r="AL152" s="93">
        <v>6.3E-2</v>
      </c>
      <c r="AM152" s="72" t="str">
        <f ca="1">[1]!thsiFinD("ths_the_sw_industry_stock",AJ152,100,$A$1)</f>
        <v>医药生物</v>
      </c>
      <c r="AO152" s="92">
        <v>46104</v>
      </c>
      <c r="AP152" s="84" t="s">
        <v>1404</v>
      </c>
      <c r="AQ152" s="84" t="s">
        <v>1405</v>
      </c>
      <c r="AR152" s="93">
        <v>0.14799999999999999</v>
      </c>
      <c r="AS152" s="72" t="str">
        <f ca="1">[1]!thsiFinD("ths_the_sw_industry_stock",AP152,100,$A$1)</f>
        <v>传媒</v>
      </c>
    </row>
    <row r="153" spans="35:45">
      <c r="AI153" s="92">
        <v>46104</v>
      </c>
      <c r="AJ153" s="84" t="s">
        <v>849</v>
      </c>
      <c r="AK153" s="84" t="s">
        <v>850</v>
      </c>
      <c r="AL153" s="93">
        <v>0.253</v>
      </c>
      <c r="AM153" s="72" t="str">
        <f ca="1">[1]!thsiFinD("ths_the_sw_industry_stock",AJ153,100,$A$1)</f>
        <v>建筑材料</v>
      </c>
      <c r="AO153" s="92">
        <v>46104</v>
      </c>
      <c r="AP153" s="84" t="s">
        <v>1406</v>
      </c>
      <c r="AQ153" s="84" t="s">
        <v>1407</v>
      </c>
      <c r="AR153" s="93">
        <v>0.22500000000000001</v>
      </c>
      <c r="AS153" s="72" t="str">
        <f ca="1">[1]!thsiFinD("ths_the_sw_industry_stock",AP153,100,$A$1)</f>
        <v>有色金属</v>
      </c>
    </row>
    <row r="154" spans="35:45">
      <c r="AI154" s="92">
        <v>46104</v>
      </c>
      <c r="AJ154" s="84" t="s">
        <v>851</v>
      </c>
      <c r="AK154" s="84" t="s">
        <v>852</v>
      </c>
      <c r="AL154" s="93">
        <v>0.32700000000000001</v>
      </c>
      <c r="AM154" s="72" t="str">
        <f ca="1">[1]!thsiFinD("ths_the_sw_industry_stock",AJ154,100,$A$1)</f>
        <v>电子</v>
      </c>
      <c r="AO154" s="92">
        <v>46104</v>
      </c>
      <c r="AP154" s="84" t="s">
        <v>1408</v>
      </c>
      <c r="AQ154" s="84" t="s">
        <v>1409</v>
      </c>
      <c r="AR154" s="93">
        <v>9.9000000000000005E-2</v>
      </c>
      <c r="AS154" s="72" t="str">
        <f ca="1">[1]!thsiFinD("ths_the_sw_industry_stock",AP154,100,$A$1)</f>
        <v>医药生物</v>
      </c>
    </row>
    <row r="155" spans="35:45">
      <c r="AI155" s="92">
        <v>46104</v>
      </c>
      <c r="AJ155" s="84" t="s">
        <v>853</v>
      </c>
      <c r="AK155" s="84" t="s">
        <v>854</v>
      </c>
      <c r="AL155" s="93">
        <v>0.123</v>
      </c>
      <c r="AM155" s="72" t="str">
        <f ca="1">[1]!thsiFinD("ths_the_sw_industry_stock",AJ155,100,$A$1)</f>
        <v>煤炭</v>
      </c>
      <c r="AO155" s="92">
        <v>46104</v>
      </c>
      <c r="AP155" s="84" t="s">
        <v>1410</v>
      </c>
      <c r="AQ155" s="84" t="s">
        <v>1411</v>
      </c>
      <c r="AR155" s="93">
        <v>0.28999999999999998</v>
      </c>
      <c r="AS155" s="72" t="str">
        <f ca="1">[1]!thsiFinD("ths_the_sw_industry_stock",AP155,100,$A$1)</f>
        <v>非银金融</v>
      </c>
    </row>
    <row r="156" spans="35:45">
      <c r="AI156" s="92">
        <v>46104</v>
      </c>
      <c r="AJ156" s="84" t="s">
        <v>855</v>
      </c>
      <c r="AK156" s="84" t="s">
        <v>856</v>
      </c>
      <c r="AL156" s="93">
        <v>0.13100000000000001</v>
      </c>
      <c r="AM156" s="72" t="str">
        <f ca="1">[1]!thsiFinD("ths_the_sw_industry_stock",AJ156,100,$A$1)</f>
        <v>医药生物</v>
      </c>
      <c r="AO156" s="92">
        <v>46104</v>
      </c>
      <c r="AP156" s="84" t="s">
        <v>1412</v>
      </c>
      <c r="AQ156" s="84" t="s">
        <v>1413</v>
      </c>
      <c r="AR156" s="93">
        <v>0.17899999999999999</v>
      </c>
      <c r="AS156" s="72" t="str">
        <f ca="1">[1]!thsiFinD("ths_the_sw_industry_stock",AP156,100,$A$1)</f>
        <v>医药生物</v>
      </c>
    </row>
    <row r="157" spans="35:45">
      <c r="AI157" s="92">
        <v>46104</v>
      </c>
      <c r="AJ157" s="84" t="s">
        <v>857</v>
      </c>
      <c r="AK157" s="84" t="s">
        <v>858</v>
      </c>
      <c r="AL157" s="93">
        <v>0.192</v>
      </c>
      <c r="AM157" s="72" t="str">
        <f ca="1">[1]!thsiFinD("ths_the_sw_industry_stock",AJ157,100,$A$1)</f>
        <v>有色金属</v>
      </c>
      <c r="AO157" s="92">
        <v>46104</v>
      </c>
      <c r="AP157" s="84" t="s">
        <v>1414</v>
      </c>
      <c r="AQ157" s="84" t="s">
        <v>1415</v>
      </c>
      <c r="AR157" s="93">
        <v>0.107</v>
      </c>
      <c r="AS157" s="72" t="str">
        <f ca="1">[1]!thsiFinD("ths_the_sw_industry_stock",AP157,100,$A$1)</f>
        <v>轻工制造</v>
      </c>
    </row>
    <row r="158" spans="35:45">
      <c r="AI158" s="92">
        <v>46104</v>
      </c>
      <c r="AJ158" s="84" t="s">
        <v>859</v>
      </c>
      <c r="AK158" s="84" t="s">
        <v>860</v>
      </c>
      <c r="AL158" s="93">
        <v>0.13100000000000001</v>
      </c>
      <c r="AM158" s="72" t="str">
        <f ca="1">[1]!thsiFinD("ths_the_sw_industry_stock",AJ158,100,$A$1)</f>
        <v>交通运输</v>
      </c>
      <c r="AO158" s="92">
        <v>46104</v>
      </c>
      <c r="AP158" s="84" t="s">
        <v>1416</v>
      </c>
      <c r="AQ158" s="84" t="s">
        <v>1417</v>
      </c>
      <c r="AR158" s="93">
        <v>0.57899999999999996</v>
      </c>
      <c r="AS158" s="72" t="str">
        <f ca="1">[1]!thsiFinD("ths_the_sw_industry_stock",AP158,100,$A$1)</f>
        <v>机械设备</v>
      </c>
    </row>
    <row r="159" spans="35:45">
      <c r="AI159" s="92">
        <v>46104</v>
      </c>
      <c r="AJ159" s="84" t="s">
        <v>861</v>
      </c>
      <c r="AK159" s="84" t="s">
        <v>862</v>
      </c>
      <c r="AL159" s="93">
        <v>0.98199999999999998</v>
      </c>
      <c r="AM159" s="72" t="str">
        <f ca="1">[1]!thsiFinD("ths_the_sw_industry_stock",AJ159,100,$A$1)</f>
        <v>医药生物</v>
      </c>
      <c r="AO159" s="92">
        <v>46104</v>
      </c>
      <c r="AP159" s="84" t="s">
        <v>1418</v>
      </c>
      <c r="AQ159" s="84" t="s">
        <v>1419</v>
      </c>
      <c r="AR159" s="93">
        <v>0.14799999999999999</v>
      </c>
      <c r="AS159" s="72" t="str">
        <f ca="1">[1]!thsiFinD("ths_the_sw_industry_stock",AP159,100,$A$1)</f>
        <v>电子</v>
      </c>
    </row>
    <row r="160" spans="35:45">
      <c r="AI160" s="92">
        <v>46104</v>
      </c>
      <c r="AJ160" s="84" t="s">
        <v>863</v>
      </c>
      <c r="AK160" s="84" t="s">
        <v>864</v>
      </c>
      <c r="AL160" s="93">
        <v>0.67900000000000005</v>
      </c>
      <c r="AM160" s="72" t="str">
        <f ca="1">[1]!thsiFinD("ths_the_sw_industry_stock",AJ160,100,$A$1)</f>
        <v>基础化工</v>
      </c>
      <c r="AO160" s="92">
        <v>46104</v>
      </c>
      <c r="AP160" s="84" t="s">
        <v>1420</v>
      </c>
      <c r="AQ160" s="84" t="s">
        <v>202</v>
      </c>
      <c r="AR160" s="93">
        <v>0.29099999999999998</v>
      </c>
      <c r="AS160" s="72" t="str">
        <f ca="1">[1]!thsiFinD("ths_the_sw_industry_stock",AP160,100,$A$1)</f>
        <v>电力设备</v>
      </c>
    </row>
    <row r="161" spans="35:45">
      <c r="AI161" s="92">
        <v>46104</v>
      </c>
      <c r="AJ161" s="84" t="s">
        <v>865</v>
      </c>
      <c r="AK161" s="84" t="s">
        <v>866</v>
      </c>
      <c r="AL161" s="93">
        <v>0.21099999999999999</v>
      </c>
      <c r="AM161" s="72" t="str">
        <f ca="1">[1]!thsiFinD("ths_the_sw_industry_stock",AJ161,100,$A$1)</f>
        <v>石油石化</v>
      </c>
      <c r="AO161" s="92">
        <v>46104</v>
      </c>
      <c r="AP161" s="84" t="s">
        <v>1421</v>
      </c>
      <c r="AQ161" s="84" t="s">
        <v>1422</v>
      </c>
      <c r="AR161" s="93">
        <v>0.46500000000000002</v>
      </c>
      <c r="AS161" s="72" t="str">
        <f ca="1">[1]!thsiFinD("ths_the_sw_industry_stock",AP161,100,$A$1)</f>
        <v>电力设备</v>
      </c>
    </row>
    <row r="162" spans="35:45">
      <c r="AI162" s="92">
        <v>46104</v>
      </c>
      <c r="AJ162" s="84" t="s">
        <v>867</v>
      </c>
      <c r="AK162" s="84" t="s">
        <v>868</v>
      </c>
      <c r="AL162" s="93">
        <v>0.23400000000000001</v>
      </c>
      <c r="AM162" s="72" t="str">
        <f ca="1">[1]!thsiFinD("ths_the_sw_industry_stock",AJ162,100,$A$1)</f>
        <v>有色金属</v>
      </c>
      <c r="AO162" s="92">
        <v>46104</v>
      </c>
      <c r="AP162" s="84" t="s">
        <v>1423</v>
      </c>
      <c r="AQ162" s="84" t="s">
        <v>1424</v>
      </c>
      <c r="AR162" s="93">
        <v>0.129</v>
      </c>
      <c r="AS162" s="72" t="str">
        <f ca="1">[1]!thsiFinD("ths_the_sw_industry_stock",AP162,100,$A$1)</f>
        <v>非银金融</v>
      </c>
    </row>
    <row r="163" spans="35:45">
      <c r="AI163" s="92">
        <v>46104</v>
      </c>
      <c r="AJ163" s="84" t="s">
        <v>869</v>
      </c>
      <c r="AK163" s="84" t="s">
        <v>870</v>
      </c>
      <c r="AL163" s="93">
        <v>0.152</v>
      </c>
      <c r="AM163" s="72" t="str">
        <f ca="1">[1]!thsiFinD("ths_the_sw_industry_stock",AJ163,100,$A$1)</f>
        <v>国防军工</v>
      </c>
      <c r="AO163" s="92">
        <v>46104</v>
      </c>
      <c r="AP163" s="84" t="s">
        <v>1425</v>
      </c>
      <c r="AQ163" s="84" t="s">
        <v>1426</v>
      </c>
      <c r="AR163" s="93">
        <v>0.14699999999999999</v>
      </c>
      <c r="AS163" s="72" t="str">
        <f ca="1">[1]!thsiFinD("ths_the_sw_industry_stock",AP163,100,$A$1)</f>
        <v>非银金融</v>
      </c>
    </row>
    <row r="164" spans="35:45">
      <c r="AI164" s="92">
        <v>46104</v>
      </c>
      <c r="AJ164" s="84" t="s">
        <v>871</v>
      </c>
      <c r="AK164" s="84" t="s">
        <v>872</v>
      </c>
      <c r="AL164" s="93">
        <v>2.3E-2</v>
      </c>
      <c r="AM164" s="72" t="str">
        <f ca="1">[1]!thsiFinD("ths_the_sw_industry_stock",AJ164,100,$A$1)</f>
        <v>交通运输</v>
      </c>
      <c r="AO164" s="92">
        <v>46104</v>
      </c>
      <c r="AP164" s="84" t="s">
        <v>1427</v>
      </c>
      <c r="AQ164" s="84" t="s">
        <v>1428</v>
      </c>
      <c r="AR164" s="93">
        <v>4.4999999999999998E-2</v>
      </c>
      <c r="AS164" s="72" t="str">
        <f ca="1">[1]!thsiFinD("ths_the_sw_industry_stock",AP164,100,$A$1)</f>
        <v>非银金融</v>
      </c>
    </row>
    <row r="165" spans="35:45">
      <c r="AI165" s="92">
        <v>46104</v>
      </c>
      <c r="AJ165" s="84" t="s">
        <v>873</v>
      </c>
      <c r="AK165" s="84" t="s">
        <v>874</v>
      </c>
      <c r="AL165" s="93">
        <v>0.42599999999999999</v>
      </c>
      <c r="AM165" s="72" t="str">
        <f ca="1">[1]!thsiFinD("ths_the_sw_industry_stock",AJ165,100,$A$1)</f>
        <v>电力设备</v>
      </c>
      <c r="AO165" s="92">
        <v>46104</v>
      </c>
      <c r="AP165" s="84" t="s">
        <v>1429</v>
      </c>
      <c r="AQ165" s="84" t="s">
        <v>1430</v>
      </c>
      <c r="AR165" s="93">
        <v>0.129</v>
      </c>
      <c r="AS165" s="72" t="str">
        <f ca="1">[1]!thsiFinD("ths_the_sw_industry_stock",AP165,100,$A$1)</f>
        <v>银行</v>
      </c>
    </row>
    <row r="166" spans="35:45">
      <c r="AI166" s="92">
        <v>46104</v>
      </c>
      <c r="AJ166" s="84" t="s">
        <v>875</v>
      </c>
      <c r="AK166" s="84" t="s">
        <v>876</v>
      </c>
      <c r="AL166" s="93">
        <v>0.158</v>
      </c>
      <c r="AM166" s="72" t="str">
        <f ca="1">[1]!thsiFinD("ths_the_sw_industry_stock",AJ166,100,$A$1)</f>
        <v>商贸零售</v>
      </c>
      <c r="AO166" s="92">
        <v>46104</v>
      </c>
      <c r="AP166" s="84" t="s">
        <v>1431</v>
      </c>
      <c r="AQ166" s="84" t="s">
        <v>1432</v>
      </c>
      <c r="AR166" s="93">
        <v>0.33300000000000002</v>
      </c>
      <c r="AS166" s="72" t="str">
        <f ca="1">[1]!thsiFinD("ths_the_sw_industry_stock",AP166,100,$A$1)</f>
        <v>银行</v>
      </c>
    </row>
    <row r="167" spans="35:45">
      <c r="AI167" s="92">
        <v>46104</v>
      </c>
      <c r="AJ167" s="84" t="s">
        <v>877</v>
      </c>
      <c r="AK167" s="84" t="s">
        <v>878</v>
      </c>
      <c r="AL167" s="93">
        <v>0.223</v>
      </c>
      <c r="AM167" s="72" t="str">
        <f ca="1">[1]!thsiFinD("ths_the_sw_industry_stock",AJ167,100,$A$1)</f>
        <v>基础化工</v>
      </c>
      <c r="AO167" s="92">
        <v>46104</v>
      </c>
      <c r="AP167" s="84" t="s">
        <v>1433</v>
      </c>
      <c r="AQ167" s="84" t="s">
        <v>1434</v>
      </c>
      <c r="AR167" s="93">
        <v>0.11799999999999999</v>
      </c>
      <c r="AS167" s="72" t="str">
        <f ca="1">[1]!thsiFinD("ths_the_sw_industry_stock",AP167,100,$A$1)</f>
        <v>汽车</v>
      </c>
    </row>
    <row r="168" spans="35:45">
      <c r="AI168" s="92">
        <v>46104</v>
      </c>
      <c r="AJ168" s="84" t="s">
        <v>879</v>
      </c>
      <c r="AK168" s="84" t="s">
        <v>880</v>
      </c>
      <c r="AL168" s="93">
        <v>0.192</v>
      </c>
      <c r="AM168" s="72" t="str">
        <f ca="1">[1]!thsiFinD("ths_the_sw_industry_stock",AJ168,100,$A$1)</f>
        <v>医药生物</v>
      </c>
      <c r="AO168" s="92">
        <v>46104</v>
      </c>
      <c r="AP168" s="84" t="s">
        <v>1435</v>
      </c>
      <c r="AQ168" s="84" t="s">
        <v>1436</v>
      </c>
      <c r="AR168" s="93">
        <v>0.105</v>
      </c>
      <c r="AS168" s="72" t="str">
        <f ca="1">[1]!thsiFinD("ths_the_sw_industry_stock",AP168,100,$A$1)</f>
        <v>电力设备</v>
      </c>
    </row>
    <row r="169" spans="35:45">
      <c r="AI169" s="92">
        <v>46104</v>
      </c>
      <c r="AJ169" s="84" t="s">
        <v>881</v>
      </c>
      <c r="AK169" s="84" t="s">
        <v>882</v>
      </c>
      <c r="AL169" s="93">
        <v>0.191</v>
      </c>
      <c r="AM169" s="72" t="str">
        <f ca="1">[1]!thsiFinD("ths_the_sw_industry_stock",AJ169,100,$A$1)</f>
        <v>电力设备</v>
      </c>
      <c r="AO169" s="92">
        <v>46104</v>
      </c>
      <c r="AP169" s="84" t="s">
        <v>1437</v>
      </c>
      <c r="AQ169" s="84" t="s">
        <v>1438</v>
      </c>
      <c r="AR169" s="93">
        <v>7.8E-2</v>
      </c>
      <c r="AS169" s="72" t="str">
        <f ca="1">[1]!thsiFinD("ths_the_sw_industry_stock",AP169,100,$A$1)</f>
        <v>电力设备</v>
      </c>
    </row>
    <row r="170" spans="35:45">
      <c r="AI170" s="92">
        <v>46104</v>
      </c>
      <c r="AJ170" s="84" t="s">
        <v>883</v>
      </c>
      <c r="AK170" s="84" t="s">
        <v>884</v>
      </c>
      <c r="AL170" s="93">
        <v>0.14599999999999999</v>
      </c>
      <c r="AM170" s="72" t="str">
        <f ca="1">[1]!thsiFinD("ths_the_sw_industry_stock",AJ170,100,$A$1)</f>
        <v>电子</v>
      </c>
      <c r="AO170" s="92">
        <v>46104</v>
      </c>
      <c r="AP170" s="84" t="s">
        <v>1439</v>
      </c>
      <c r="AQ170" s="84" t="s">
        <v>1440</v>
      </c>
      <c r="AR170" s="93">
        <v>0.13300000000000001</v>
      </c>
      <c r="AS170" s="72" t="str">
        <f ca="1">[1]!thsiFinD("ths_the_sw_industry_stock",AP170,100,$A$1)</f>
        <v>通信</v>
      </c>
    </row>
    <row r="171" spans="35:45">
      <c r="AI171" s="92">
        <v>46104</v>
      </c>
      <c r="AJ171" s="84" t="s">
        <v>885</v>
      </c>
      <c r="AK171" s="84" t="s">
        <v>886</v>
      </c>
      <c r="AL171" s="93">
        <v>0.14699999999999999</v>
      </c>
      <c r="AM171" s="72" t="str">
        <f ca="1">[1]!thsiFinD("ths_the_sw_industry_stock",AJ171,100,$A$1)</f>
        <v>电力设备</v>
      </c>
      <c r="AO171" s="92">
        <v>46104</v>
      </c>
      <c r="AP171" s="84" t="s">
        <v>1441</v>
      </c>
      <c r="AQ171" s="84" t="s">
        <v>1442</v>
      </c>
      <c r="AR171" s="93">
        <v>8.5999999999999993E-2</v>
      </c>
      <c r="AS171" s="72" t="str">
        <f ca="1">[1]!thsiFinD("ths_the_sw_industry_stock",AP171,100,$A$1)</f>
        <v>公用事业</v>
      </c>
    </row>
    <row r="172" spans="35:45">
      <c r="AI172" s="92">
        <v>46104</v>
      </c>
      <c r="AJ172" s="84" t="s">
        <v>887</v>
      </c>
      <c r="AK172" s="84" t="s">
        <v>888</v>
      </c>
      <c r="AL172" s="93">
        <v>0.36</v>
      </c>
      <c r="AM172" s="72" t="str">
        <f ca="1">[1]!thsiFinD("ths_the_sw_industry_stock",AJ172,100,$A$1)</f>
        <v>有色金属</v>
      </c>
      <c r="AO172" s="92">
        <v>46104</v>
      </c>
      <c r="AP172" s="84" t="s">
        <v>320</v>
      </c>
      <c r="AQ172" s="84" t="s">
        <v>321</v>
      </c>
      <c r="AR172" s="93">
        <v>0.20499999999999999</v>
      </c>
      <c r="AS172" s="72" t="str">
        <f ca="1">[1]!thsiFinD("ths_the_sw_industry_stock",AP172,100,$A$1)</f>
        <v>电力设备</v>
      </c>
    </row>
    <row r="173" spans="35:45">
      <c r="AI173" s="92">
        <v>46104</v>
      </c>
      <c r="AJ173" s="84" t="s">
        <v>889</v>
      </c>
      <c r="AK173" s="84" t="s">
        <v>890</v>
      </c>
      <c r="AL173" s="93">
        <v>9.4E-2</v>
      </c>
      <c r="AM173" s="72" t="str">
        <f ca="1">[1]!thsiFinD("ths_the_sw_industry_stock",AJ173,100,$A$1)</f>
        <v>房地产</v>
      </c>
      <c r="AO173" s="92">
        <v>46104</v>
      </c>
      <c r="AP173" s="84" t="s">
        <v>322</v>
      </c>
      <c r="AQ173" s="84" t="s">
        <v>323</v>
      </c>
      <c r="AR173" s="93">
        <v>0.21</v>
      </c>
      <c r="AS173" s="72" t="str">
        <f ca="1">[1]!thsiFinD("ths_the_sw_industry_stock",AP173,100,$A$1)</f>
        <v>传媒</v>
      </c>
    </row>
    <row r="174" spans="35:45">
      <c r="AI174" s="92">
        <v>46104</v>
      </c>
      <c r="AJ174" s="84" t="s">
        <v>891</v>
      </c>
      <c r="AK174" s="84" t="s">
        <v>892</v>
      </c>
      <c r="AL174" s="93">
        <v>3.544</v>
      </c>
      <c r="AM174" s="72" t="str">
        <f ca="1">[1]!thsiFinD("ths_the_sw_industry_stock",AJ174,100,$A$1)</f>
        <v>食品饮料</v>
      </c>
      <c r="AO174" s="92">
        <v>46104</v>
      </c>
      <c r="AP174" s="84" t="s">
        <v>324</v>
      </c>
      <c r="AQ174" s="84" t="s">
        <v>325</v>
      </c>
      <c r="AR174" s="93">
        <v>0.217</v>
      </c>
      <c r="AS174" s="72" t="str">
        <f ca="1">[1]!thsiFinD("ths_the_sw_industry_stock",AP174,100,$A$1)</f>
        <v>医药生物</v>
      </c>
    </row>
    <row r="175" spans="35:45">
      <c r="AI175" s="92">
        <v>46104</v>
      </c>
      <c r="AJ175" s="84" t="s">
        <v>893</v>
      </c>
      <c r="AK175" s="84" t="s">
        <v>894</v>
      </c>
      <c r="AL175" s="93">
        <v>0.309</v>
      </c>
      <c r="AM175" s="72" t="str">
        <f ca="1">[1]!thsiFinD("ths_the_sw_industry_stock",AJ175,100,$A$1)</f>
        <v>通信</v>
      </c>
      <c r="AO175" s="92">
        <v>46104</v>
      </c>
      <c r="AP175" s="84" t="s">
        <v>177</v>
      </c>
      <c r="AQ175" s="84" t="s">
        <v>327</v>
      </c>
      <c r="AR175" s="93">
        <v>0.252</v>
      </c>
      <c r="AS175" s="72" t="str">
        <f ca="1">[1]!thsiFinD("ths_the_sw_industry_stock",AP175,100,$A$1)</f>
        <v>社会服务</v>
      </c>
    </row>
    <row r="176" spans="35:45">
      <c r="AI176" s="92">
        <v>46104</v>
      </c>
      <c r="AJ176" s="84" t="s">
        <v>895</v>
      </c>
      <c r="AK176" s="84" t="s">
        <v>896</v>
      </c>
      <c r="AL176" s="93">
        <v>0.33300000000000002</v>
      </c>
      <c r="AM176" s="72" t="str">
        <f ca="1">[1]!thsiFinD("ths_the_sw_industry_stock",AJ176,100,$A$1)</f>
        <v>有色金属</v>
      </c>
      <c r="AO176" s="92">
        <v>46104</v>
      </c>
      <c r="AP176" s="84" t="s">
        <v>332</v>
      </c>
      <c r="AQ176" s="84" t="s">
        <v>333</v>
      </c>
      <c r="AR176" s="93">
        <v>0.45600000000000002</v>
      </c>
      <c r="AS176" s="72" t="str">
        <f ca="1">[1]!thsiFinD("ths_the_sw_industry_stock",AP176,100,$A$1)</f>
        <v>计算机</v>
      </c>
    </row>
    <row r="177" spans="35:45">
      <c r="AI177" s="92">
        <v>46104</v>
      </c>
      <c r="AJ177" s="84" t="s">
        <v>897</v>
      </c>
      <c r="AK177" s="84" t="s">
        <v>898</v>
      </c>
      <c r="AL177" s="93">
        <v>0.17699999999999999</v>
      </c>
      <c r="AM177" s="72" t="str">
        <f ca="1">[1]!thsiFinD("ths_the_sw_industry_stock",AJ177,100,$A$1)</f>
        <v>计算机</v>
      </c>
      <c r="AO177" s="92">
        <v>46104</v>
      </c>
      <c r="AP177" s="84" t="s">
        <v>334</v>
      </c>
      <c r="AQ177" s="84" t="s">
        <v>335</v>
      </c>
      <c r="AR177" s="93">
        <v>0.20100000000000001</v>
      </c>
      <c r="AS177" s="72" t="str">
        <f ca="1">[1]!thsiFinD("ths_the_sw_industry_stock",AP177,100,$A$1)</f>
        <v>机械设备</v>
      </c>
    </row>
    <row r="178" spans="35:45">
      <c r="AI178" s="92">
        <v>46104</v>
      </c>
      <c r="AJ178" s="84" t="s">
        <v>899</v>
      </c>
      <c r="AK178" s="84" t="s">
        <v>900</v>
      </c>
      <c r="AL178" s="93">
        <v>0.26800000000000002</v>
      </c>
      <c r="AM178" s="72" t="str">
        <f ca="1">[1]!thsiFinD("ths_the_sw_industry_stock",AJ178,100,$A$1)</f>
        <v>电子</v>
      </c>
      <c r="AO178" s="92">
        <v>46104</v>
      </c>
      <c r="AP178" s="84" t="s">
        <v>338</v>
      </c>
      <c r="AQ178" s="84" t="s">
        <v>339</v>
      </c>
      <c r="AR178" s="93">
        <v>0.27400000000000002</v>
      </c>
      <c r="AS178" s="72" t="str">
        <f ca="1">[1]!thsiFinD("ths_the_sw_industry_stock",AP178,100,$A$1)</f>
        <v>电力设备</v>
      </c>
    </row>
    <row r="179" spans="35:45">
      <c r="AI179" s="92">
        <v>46104</v>
      </c>
      <c r="AJ179" s="84" t="s">
        <v>901</v>
      </c>
      <c r="AK179" s="84" t="s">
        <v>902</v>
      </c>
      <c r="AL179" s="93">
        <v>0.23899999999999999</v>
      </c>
      <c r="AM179" s="72" t="str">
        <f ca="1">[1]!thsiFinD("ths_the_sw_industry_stock",AJ179,100,$A$1)</f>
        <v>建筑材料</v>
      </c>
      <c r="AO179" s="92">
        <v>46104</v>
      </c>
      <c r="AP179" s="84" t="s">
        <v>340</v>
      </c>
      <c r="AQ179" s="84" t="s">
        <v>341</v>
      </c>
      <c r="AR179" s="93">
        <v>0.31900000000000001</v>
      </c>
      <c r="AS179" s="72" t="str">
        <f ca="1">[1]!thsiFinD("ths_the_sw_industry_stock",AP179,100,$A$1)</f>
        <v>电子</v>
      </c>
    </row>
    <row r="180" spans="35:45">
      <c r="AI180" s="92">
        <v>46104</v>
      </c>
      <c r="AJ180" s="84" t="s">
        <v>903</v>
      </c>
      <c r="AK180" s="84" t="s">
        <v>904</v>
      </c>
      <c r="AL180" s="93">
        <v>0.113</v>
      </c>
      <c r="AM180" s="72" t="str">
        <f ca="1">[1]!thsiFinD("ths_the_sw_industry_stock",AJ180,100,$A$1)</f>
        <v>计算机</v>
      </c>
      <c r="AO180" s="92">
        <v>46104</v>
      </c>
      <c r="AP180" s="84" t="s">
        <v>342</v>
      </c>
      <c r="AQ180" s="84" t="s">
        <v>343</v>
      </c>
      <c r="AR180" s="93">
        <v>0.60899999999999999</v>
      </c>
      <c r="AS180" s="72" t="str">
        <f ca="1">[1]!thsiFinD("ths_the_sw_industry_stock",AP180,100,$A$1)</f>
        <v>传媒</v>
      </c>
    </row>
    <row r="181" spans="35:45">
      <c r="AI181" s="92">
        <v>46104</v>
      </c>
      <c r="AJ181" s="84" t="s">
        <v>905</v>
      </c>
      <c r="AK181" s="84" t="s">
        <v>906</v>
      </c>
      <c r="AL181" s="93">
        <v>8.5999999999999993E-2</v>
      </c>
      <c r="AM181" s="72" t="str">
        <f ca="1">[1]!thsiFinD("ths_the_sw_industry_stock",AJ181,100,$A$1)</f>
        <v>食品饮料</v>
      </c>
      <c r="AO181" s="92">
        <v>46104</v>
      </c>
      <c r="AP181" s="84" t="s">
        <v>1443</v>
      </c>
      <c r="AQ181" s="84" t="s">
        <v>1444</v>
      </c>
      <c r="AR181" s="93">
        <v>8.4000000000000005E-2</v>
      </c>
      <c r="AS181" s="72" t="str">
        <f ca="1">[1]!thsiFinD("ths_the_sw_industry_stock",AP181,100,$A$1)</f>
        <v>环保</v>
      </c>
    </row>
    <row r="182" spans="35:45">
      <c r="AI182" s="92">
        <v>46104</v>
      </c>
      <c r="AJ182" s="84" t="s">
        <v>907</v>
      </c>
      <c r="AK182" s="84" t="s">
        <v>908</v>
      </c>
      <c r="AL182" s="93">
        <v>0.376</v>
      </c>
      <c r="AM182" s="72" t="str">
        <f ca="1">[1]!thsiFinD("ths_the_sw_industry_stock",AJ182,100,$A$1)</f>
        <v>汽车</v>
      </c>
      <c r="AO182" s="92">
        <v>46104</v>
      </c>
      <c r="AP182" s="84" t="s">
        <v>346</v>
      </c>
      <c r="AQ182" s="84" t="s">
        <v>347</v>
      </c>
      <c r="AR182" s="93">
        <v>0.22800000000000001</v>
      </c>
      <c r="AS182" s="72" t="str">
        <f ca="1">[1]!thsiFinD("ths_the_sw_industry_stock",AP182,100,$A$1)</f>
        <v>电力设备</v>
      </c>
    </row>
    <row r="183" spans="35:45">
      <c r="AI183" s="92">
        <v>46104</v>
      </c>
      <c r="AJ183" s="84" t="s">
        <v>909</v>
      </c>
      <c r="AK183" s="84" t="s">
        <v>910</v>
      </c>
      <c r="AL183" s="93">
        <v>0.11</v>
      </c>
      <c r="AM183" s="72" t="str">
        <f ca="1">[1]!thsiFinD("ths_the_sw_industry_stock",AJ183,100,$A$1)</f>
        <v>公用事业</v>
      </c>
      <c r="AO183" s="92">
        <v>46104</v>
      </c>
      <c r="AP183" s="84" t="s">
        <v>348</v>
      </c>
      <c r="AQ183" s="84" t="s">
        <v>349</v>
      </c>
      <c r="AR183" s="93">
        <v>0.115</v>
      </c>
      <c r="AS183" s="72" t="str">
        <f ca="1">[1]!thsiFinD("ths_the_sw_industry_stock",AP183,100,$A$1)</f>
        <v>汽车</v>
      </c>
    </row>
    <row r="184" spans="35:45">
      <c r="AI184" s="92">
        <v>46104</v>
      </c>
      <c r="AJ184" s="84" t="s">
        <v>911</v>
      </c>
      <c r="AK184" s="84" t="s">
        <v>912</v>
      </c>
      <c r="AL184" s="93">
        <v>0.375</v>
      </c>
      <c r="AM184" s="72" t="str">
        <f ca="1">[1]!thsiFinD("ths_the_sw_industry_stock",AJ184,100,$A$1)</f>
        <v>家用电器</v>
      </c>
      <c r="AO184" s="92">
        <v>46104</v>
      </c>
      <c r="AP184" s="84" t="s">
        <v>350</v>
      </c>
      <c r="AQ184" s="84" t="s">
        <v>351</v>
      </c>
      <c r="AR184" s="93">
        <v>0.33700000000000002</v>
      </c>
      <c r="AS184" s="72" t="str">
        <f ca="1">[1]!thsiFinD("ths_the_sw_industry_stock",AP184,100,$A$1)</f>
        <v>电子</v>
      </c>
    </row>
    <row r="185" spans="35:45">
      <c r="AI185" s="92">
        <v>46104</v>
      </c>
      <c r="AJ185" s="84" t="s">
        <v>913</v>
      </c>
      <c r="AK185" s="84" t="s">
        <v>914</v>
      </c>
      <c r="AL185" s="93">
        <v>0.11899999999999999</v>
      </c>
      <c r="AM185" s="72" t="str">
        <f ca="1">[1]!thsiFinD("ths_the_sw_industry_stock",AJ185,100,$A$1)</f>
        <v>汽车</v>
      </c>
      <c r="AO185" s="92">
        <v>46104</v>
      </c>
      <c r="AP185" s="84" t="s">
        <v>356</v>
      </c>
      <c r="AQ185" s="84" t="s">
        <v>357</v>
      </c>
      <c r="AR185" s="93">
        <v>0.68</v>
      </c>
      <c r="AS185" s="72" t="str">
        <f ca="1">[1]!thsiFinD("ths_the_sw_industry_stock",AP185,100,$A$1)</f>
        <v>电子</v>
      </c>
    </row>
    <row r="186" spans="35:45">
      <c r="AI186" s="92">
        <v>46104</v>
      </c>
      <c r="AJ186" s="84" t="s">
        <v>915</v>
      </c>
      <c r="AK186" s="84" t="s">
        <v>916</v>
      </c>
      <c r="AL186" s="93">
        <v>0.183</v>
      </c>
      <c r="AM186" s="72" t="str">
        <f ca="1">[1]!thsiFinD("ths_the_sw_industry_stock",AJ186,100,$A$1)</f>
        <v>国防军工</v>
      </c>
      <c r="AO186" s="92">
        <v>46104</v>
      </c>
      <c r="AP186" s="84" t="s">
        <v>1445</v>
      </c>
      <c r="AQ186" s="84" t="s">
        <v>1446</v>
      </c>
      <c r="AR186" s="93">
        <v>4.3999999999999997E-2</v>
      </c>
      <c r="AS186" s="72" t="str">
        <f ca="1">[1]!thsiFinD("ths_the_sw_industry_stock",AP186,100,$A$1)</f>
        <v>环保</v>
      </c>
    </row>
    <row r="187" spans="35:45">
      <c r="AI187" s="92">
        <v>46104</v>
      </c>
      <c r="AJ187" s="84" t="s">
        <v>917</v>
      </c>
      <c r="AK187" s="84" t="s">
        <v>918</v>
      </c>
      <c r="AL187" s="93">
        <v>0.17</v>
      </c>
      <c r="AM187" s="72" t="str">
        <f ca="1">[1]!thsiFinD("ths_the_sw_industry_stock",AJ187,100,$A$1)</f>
        <v>公用事业</v>
      </c>
      <c r="AO187" s="92">
        <v>46104</v>
      </c>
      <c r="AP187" s="84" t="s">
        <v>358</v>
      </c>
      <c r="AQ187" s="84" t="s">
        <v>359</v>
      </c>
      <c r="AR187" s="93">
        <v>0.18099999999999999</v>
      </c>
      <c r="AS187" s="72" t="str">
        <f ca="1">[1]!thsiFinD("ths_the_sw_industry_stock",AP187,100,$A$1)</f>
        <v>医药生物</v>
      </c>
    </row>
    <row r="188" spans="35:45">
      <c r="AI188" s="92">
        <v>46104</v>
      </c>
      <c r="AJ188" s="84" t="s">
        <v>919</v>
      </c>
      <c r="AK188" s="84" t="s">
        <v>920</v>
      </c>
      <c r="AL188" s="93">
        <v>7.3999999999999996E-2</v>
      </c>
      <c r="AM188" s="72" t="str">
        <f ca="1">[1]!thsiFinD("ths_the_sw_industry_stock",AJ188,100,$A$1)</f>
        <v>公用事业</v>
      </c>
      <c r="AO188" s="92">
        <v>46104</v>
      </c>
      <c r="AP188" s="84" t="s">
        <v>360</v>
      </c>
      <c r="AQ188" s="84" t="s">
        <v>361</v>
      </c>
      <c r="AR188" s="93">
        <v>0.12</v>
      </c>
      <c r="AS188" s="72" t="str">
        <f ca="1">[1]!thsiFinD("ths_the_sw_industry_stock",AP188,100,$A$1)</f>
        <v>社会服务</v>
      </c>
    </row>
    <row r="189" spans="35:45">
      <c r="AI189" s="92">
        <v>46104</v>
      </c>
      <c r="AJ189" s="84" t="s">
        <v>921</v>
      </c>
      <c r="AK189" s="84" t="s">
        <v>922</v>
      </c>
      <c r="AL189" s="93">
        <v>0.30599999999999999</v>
      </c>
      <c r="AM189" s="72" t="str">
        <f ca="1">[1]!thsiFinD("ths_the_sw_industry_stock",AJ189,100,$A$1)</f>
        <v>食品饮料</v>
      </c>
      <c r="AO189" s="92">
        <v>46104</v>
      </c>
      <c r="AP189" s="84" t="s">
        <v>362</v>
      </c>
      <c r="AQ189" s="84" t="s">
        <v>363</v>
      </c>
      <c r="AR189" s="93">
        <v>0.112</v>
      </c>
      <c r="AS189" s="72" t="str">
        <f ca="1">[1]!thsiFinD("ths_the_sw_industry_stock",AP189,100,$A$1)</f>
        <v>食品饮料</v>
      </c>
    </row>
    <row r="190" spans="35:45">
      <c r="AI190" s="92">
        <v>46104</v>
      </c>
      <c r="AJ190" s="84" t="s">
        <v>923</v>
      </c>
      <c r="AK190" s="84" t="s">
        <v>924</v>
      </c>
      <c r="AL190" s="93">
        <v>8.1000000000000003E-2</v>
      </c>
      <c r="AM190" s="72" t="str">
        <f ca="1">[1]!thsiFinD("ths_the_sw_industry_stock",AJ190,100,$A$1)</f>
        <v>计算机</v>
      </c>
      <c r="AO190" s="92">
        <v>46104</v>
      </c>
      <c r="AP190" s="84" t="s">
        <v>364</v>
      </c>
      <c r="AQ190" s="84" t="s">
        <v>365</v>
      </c>
      <c r="AR190" s="93">
        <v>0.35499999999999998</v>
      </c>
      <c r="AS190" s="72" t="str">
        <f ca="1">[1]!thsiFinD("ths_the_sw_industry_stock",AP190,100,$A$1)</f>
        <v>电力设备</v>
      </c>
    </row>
    <row r="191" spans="35:45">
      <c r="AI191" s="92">
        <v>46104</v>
      </c>
      <c r="AJ191" s="84" t="s">
        <v>925</v>
      </c>
      <c r="AK191" s="84" t="s">
        <v>926</v>
      </c>
      <c r="AL191" s="93">
        <v>0.17599999999999999</v>
      </c>
      <c r="AM191" s="72" t="str">
        <f ca="1">[1]!thsiFinD("ths_the_sw_industry_stock",AJ191,100,$A$1)</f>
        <v>电力设备</v>
      </c>
      <c r="AO191" s="92">
        <v>46104</v>
      </c>
      <c r="AP191" s="84" t="s">
        <v>366</v>
      </c>
      <c r="AQ191" s="84" t="s">
        <v>367</v>
      </c>
      <c r="AR191" s="93">
        <v>0.41299999999999998</v>
      </c>
      <c r="AS191" s="72" t="str">
        <f ca="1">[1]!thsiFinD("ths_the_sw_industry_stock",AP191,100,$A$1)</f>
        <v>电子</v>
      </c>
    </row>
    <row r="192" spans="35:45">
      <c r="AI192" s="92">
        <v>46104</v>
      </c>
      <c r="AJ192" s="84" t="s">
        <v>927</v>
      </c>
      <c r="AK192" s="84" t="s">
        <v>928</v>
      </c>
      <c r="AL192" s="93">
        <v>0.124</v>
      </c>
      <c r="AM192" s="72" t="str">
        <f ca="1">[1]!thsiFinD("ths_the_sw_industry_stock",AJ192,100,$A$1)</f>
        <v>公用事业</v>
      </c>
      <c r="AO192" s="92">
        <v>46104</v>
      </c>
      <c r="AP192" s="84" t="s">
        <v>376</v>
      </c>
      <c r="AQ192" s="84" t="s">
        <v>377</v>
      </c>
      <c r="AR192" s="93">
        <v>0.28000000000000003</v>
      </c>
      <c r="AS192" s="72" t="str">
        <f ca="1">[1]!thsiFinD("ths_the_sw_industry_stock",AP192,100,$A$1)</f>
        <v>电子</v>
      </c>
    </row>
    <row r="193" spans="35:45">
      <c r="AI193" s="92">
        <v>46104</v>
      </c>
      <c r="AJ193" s="84" t="s">
        <v>929</v>
      </c>
      <c r="AK193" s="84" t="s">
        <v>930</v>
      </c>
      <c r="AL193" s="93">
        <v>0.64200000000000002</v>
      </c>
      <c r="AM193" s="72" t="str">
        <f ca="1">[1]!thsiFinD("ths_the_sw_industry_stock",AJ193,100,$A$1)</f>
        <v>食品饮料</v>
      </c>
      <c r="AO193" s="92">
        <v>46104</v>
      </c>
      <c r="AP193" s="84" t="s">
        <v>382</v>
      </c>
      <c r="AQ193" s="84" t="s">
        <v>383</v>
      </c>
      <c r="AR193" s="93">
        <v>0.378</v>
      </c>
      <c r="AS193" s="72" t="str">
        <f ca="1">[1]!thsiFinD("ths_the_sw_industry_stock",AP193,100,$A$1)</f>
        <v>计算机</v>
      </c>
    </row>
    <row r="194" spans="35:45">
      <c r="AI194" s="92">
        <v>46104</v>
      </c>
      <c r="AJ194" s="84" t="s">
        <v>931</v>
      </c>
      <c r="AK194" s="84" t="s">
        <v>932</v>
      </c>
      <c r="AL194" s="93">
        <v>0.29599999999999999</v>
      </c>
      <c r="AM194" s="72" t="str">
        <f ca="1">[1]!thsiFinD("ths_the_sw_industry_stock",AJ194,100,$A$1)</f>
        <v>国防军工</v>
      </c>
      <c r="AO194" s="92">
        <v>46104</v>
      </c>
      <c r="AP194" s="84" t="s">
        <v>384</v>
      </c>
      <c r="AQ194" s="84" t="s">
        <v>385</v>
      </c>
      <c r="AR194" s="93">
        <v>0.36099999999999999</v>
      </c>
      <c r="AS194" s="72" t="str">
        <f ca="1">[1]!thsiFinD("ths_the_sw_industry_stock",AP194,100,$A$1)</f>
        <v>电子</v>
      </c>
    </row>
    <row r="195" spans="35:45">
      <c r="AI195" s="92">
        <v>46104</v>
      </c>
      <c r="AJ195" s="84" t="s">
        <v>933</v>
      </c>
      <c r="AK195" s="84" t="s">
        <v>934</v>
      </c>
      <c r="AL195" s="93">
        <v>1.2390000000000001</v>
      </c>
      <c r="AM195" s="72" t="str">
        <f ca="1">[1]!thsiFinD("ths_the_sw_industry_stock",AJ195,100,$A$1)</f>
        <v>公用事业</v>
      </c>
      <c r="AO195" s="92">
        <v>46104</v>
      </c>
      <c r="AP195" s="84" t="s">
        <v>388</v>
      </c>
      <c r="AQ195" s="84" t="s">
        <v>389</v>
      </c>
      <c r="AR195" s="93">
        <v>0.26100000000000001</v>
      </c>
      <c r="AS195" s="72" t="str">
        <f ca="1">[1]!thsiFinD("ths_the_sw_industry_stock",AP195,100,$A$1)</f>
        <v>电子</v>
      </c>
    </row>
    <row r="196" spans="35:45">
      <c r="AI196" s="92">
        <v>46104</v>
      </c>
      <c r="AJ196" s="84" t="s">
        <v>935</v>
      </c>
      <c r="AK196" s="84" t="s">
        <v>936</v>
      </c>
      <c r="AL196" s="93">
        <v>0.23100000000000001</v>
      </c>
      <c r="AM196" s="72" t="str">
        <f ca="1">[1]!thsiFinD("ths_the_sw_industry_stock",AJ196,100,$A$1)</f>
        <v>公用事业</v>
      </c>
      <c r="AO196" s="92">
        <v>46104</v>
      </c>
      <c r="AP196" s="84" t="s">
        <v>390</v>
      </c>
      <c r="AQ196" s="84" t="s">
        <v>391</v>
      </c>
      <c r="AR196" s="93">
        <v>0.23</v>
      </c>
      <c r="AS196" s="72" t="str">
        <f ca="1">[1]!thsiFinD("ths_the_sw_industry_stock",AP196,100,$A$1)</f>
        <v>通信</v>
      </c>
    </row>
    <row r="197" spans="35:45">
      <c r="AI197" s="92">
        <v>46104</v>
      </c>
      <c r="AJ197" s="84" t="s">
        <v>937</v>
      </c>
      <c r="AK197" s="84" t="s">
        <v>938</v>
      </c>
      <c r="AL197" s="93">
        <v>7.9000000000000001E-2</v>
      </c>
      <c r="AM197" s="72" t="str">
        <f ca="1">[1]!thsiFinD("ths_the_sw_industry_stock",AJ197,100,$A$1)</f>
        <v>非银金融</v>
      </c>
      <c r="AO197" s="92">
        <v>46104</v>
      </c>
      <c r="AP197" s="84" t="s">
        <v>1447</v>
      </c>
      <c r="AQ197" s="84" t="s">
        <v>1448</v>
      </c>
      <c r="AR197" s="93">
        <v>0.26900000000000002</v>
      </c>
      <c r="AS197" s="72" t="str">
        <f ca="1">[1]!thsiFinD("ths_the_sw_industry_stock",AP197,100,$A$1)</f>
        <v>电力设备</v>
      </c>
    </row>
    <row r="198" spans="35:45">
      <c r="AI198" s="92">
        <v>46104</v>
      </c>
      <c r="AJ198" s="84" t="s">
        <v>939</v>
      </c>
      <c r="AK198" s="84" t="s">
        <v>940</v>
      </c>
      <c r="AL198" s="93">
        <v>0.59099999999999997</v>
      </c>
      <c r="AM198" s="72" t="str">
        <f ca="1">[1]!thsiFinD("ths_the_sw_industry_stock",AJ198,100,$A$1)</f>
        <v>银行</v>
      </c>
      <c r="AO198" s="92">
        <v>46104</v>
      </c>
      <c r="AP198" s="84" t="s">
        <v>394</v>
      </c>
      <c r="AQ198" s="84" t="s">
        <v>178</v>
      </c>
      <c r="AR198" s="93">
        <v>0.51500000000000001</v>
      </c>
      <c r="AS198" s="72" t="str">
        <f ca="1">[1]!thsiFinD("ths_the_sw_industry_stock",AP198,100,$A$1)</f>
        <v>国防军工</v>
      </c>
    </row>
    <row r="199" spans="35:45">
      <c r="AI199" s="92">
        <v>46104</v>
      </c>
      <c r="AJ199" s="84" t="s">
        <v>941</v>
      </c>
      <c r="AK199" s="84" t="s">
        <v>942</v>
      </c>
      <c r="AL199" s="93">
        <v>0.32100000000000001</v>
      </c>
      <c r="AM199" s="72" t="str">
        <f ca="1">[1]!thsiFinD("ths_the_sw_industry_stock",AJ199,100,$A$1)</f>
        <v>银行</v>
      </c>
      <c r="AO199" s="92">
        <v>46104</v>
      </c>
      <c r="AP199" s="84" t="s">
        <v>402</v>
      </c>
      <c r="AQ199" s="84" t="s">
        <v>403</v>
      </c>
      <c r="AR199" s="93">
        <v>0.16900000000000001</v>
      </c>
      <c r="AS199" s="72" t="str">
        <f ca="1">[1]!thsiFinD("ths_the_sw_industry_stock",AP199,100,$A$1)</f>
        <v>电力设备</v>
      </c>
    </row>
    <row r="200" spans="35:45">
      <c r="AI200" s="92">
        <v>46104</v>
      </c>
      <c r="AJ200" s="84" t="s">
        <v>943</v>
      </c>
      <c r="AK200" s="84" t="s">
        <v>944</v>
      </c>
      <c r="AL200" s="93">
        <v>6.8000000000000005E-2</v>
      </c>
      <c r="AM200" s="72" t="str">
        <f ca="1">[1]!thsiFinD("ths_the_sw_industry_stock",AJ200,100,$A$1)</f>
        <v>公用事业</v>
      </c>
      <c r="AO200" s="92">
        <v>46104</v>
      </c>
      <c r="AP200" s="84" t="s">
        <v>408</v>
      </c>
      <c r="AQ200" s="84" t="s">
        <v>409</v>
      </c>
      <c r="AR200" s="93">
        <v>0.55100000000000005</v>
      </c>
      <c r="AS200" s="72" t="str">
        <f ca="1">[1]!thsiFinD("ths_the_sw_industry_stock",AP200,100,$A$1)</f>
        <v>电力设备</v>
      </c>
    </row>
    <row r="201" spans="35:45">
      <c r="AI201" s="92">
        <v>46104</v>
      </c>
      <c r="AJ201" s="84" t="s">
        <v>945</v>
      </c>
      <c r="AK201" s="84" t="s">
        <v>946</v>
      </c>
      <c r="AL201" s="93">
        <v>0.33400000000000002</v>
      </c>
      <c r="AM201" s="72" t="str">
        <f ca="1">[1]!thsiFinD("ths_the_sw_industry_stock",AJ201,100,$A$1)</f>
        <v>石油石化</v>
      </c>
      <c r="AO201" s="92">
        <v>46104</v>
      </c>
      <c r="AP201" s="84" t="s">
        <v>410</v>
      </c>
      <c r="AQ201" s="84" t="s">
        <v>411</v>
      </c>
      <c r="AR201" s="93">
        <v>0.30399999999999999</v>
      </c>
      <c r="AS201" s="72" t="str">
        <f ca="1">[1]!thsiFinD("ths_the_sw_industry_stock",AP201,100,$A$1)</f>
        <v>计算机</v>
      </c>
    </row>
    <row r="202" spans="35:45">
      <c r="AI202" s="92">
        <v>46104</v>
      </c>
      <c r="AJ202" s="84" t="s">
        <v>947</v>
      </c>
      <c r="AK202" s="84" t="s">
        <v>948</v>
      </c>
      <c r="AL202" s="93">
        <v>0.33100000000000002</v>
      </c>
      <c r="AM202" s="72" t="str">
        <f ca="1">[1]!thsiFinD("ths_the_sw_industry_stock",AJ202,100,$A$1)</f>
        <v>通信</v>
      </c>
      <c r="AO202" s="92">
        <v>46104</v>
      </c>
      <c r="AP202" s="84" t="s">
        <v>412</v>
      </c>
      <c r="AQ202" s="84" t="s">
        <v>413</v>
      </c>
      <c r="AR202" s="93">
        <v>0.22600000000000001</v>
      </c>
      <c r="AS202" s="72" t="str">
        <f ca="1">[1]!thsiFinD("ths_the_sw_industry_stock",AP202,100,$A$1)</f>
        <v>电子</v>
      </c>
    </row>
    <row r="203" spans="35:45">
      <c r="AI203" s="92">
        <v>46104</v>
      </c>
      <c r="AJ203" s="84" t="s">
        <v>949</v>
      </c>
      <c r="AK203" s="84" t="s">
        <v>950</v>
      </c>
      <c r="AL203" s="93">
        <v>0.20599999999999999</v>
      </c>
      <c r="AM203" s="72" t="str">
        <f ca="1">[1]!thsiFinD("ths_the_sw_industry_stock",AJ203,100,$A$1)</f>
        <v>非银金融</v>
      </c>
      <c r="AO203" s="92">
        <v>46104</v>
      </c>
      <c r="AP203" s="84" t="s">
        <v>414</v>
      </c>
      <c r="AQ203" s="84" t="s">
        <v>415</v>
      </c>
      <c r="AR203" s="93">
        <v>0.24199999999999999</v>
      </c>
      <c r="AS203" s="72" t="str">
        <f ca="1">[1]!thsiFinD("ths_the_sw_industry_stock",AP203,100,$A$1)</f>
        <v>国防军工</v>
      </c>
    </row>
    <row r="204" spans="35:45">
      <c r="AI204" s="92">
        <v>46104</v>
      </c>
      <c r="AJ204" s="84" t="s">
        <v>951</v>
      </c>
      <c r="AK204" s="84" t="s">
        <v>952</v>
      </c>
      <c r="AL204" s="93">
        <v>0.20499999999999999</v>
      </c>
      <c r="AM204" s="72" t="str">
        <f ca="1">[1]!thsiFinD("ths_the_sw_industry_stock",AJ204,100,$A$1)</f>
        <v>基础化工</v>
      </c>
      <c r="AO204" s="92">
        <v>46104</v>
      </c>
      <c r="AP204" s="84" t="s">
        <v>418</v>
      </c>
      <c r="AQ204" s="84" t="s">
        <v>419</v>
      </c>
      <c r="AR204" s="93">
        <v>0.17399999999999999</v>
      </c>
      <c r="AS204" s="72" t="str">
        <f ca="1">[1]!thsiFinD("ths_the_sw_industry_stock",AP204,100,$A$1)</f>
        <v>基础化工</v>
      </c>
    </row>
    <row r="205" spans="35:45">
      <c r="AI205" s="92">
        <v>46104</v>
      </c>
      <c r="AJ205" s="84" t="s">
        <v>953</v>
      </c>
      <c r="AK205" s="84" t="s">
        <v>954</v>
      </c>
      <c r="AL205" s="93">
        <v>0.24</v>
      </c>
      <c r="AM205" s="72" t="str">
        <f ca="1">[1]!thsiFinD("ths_the_sw_industry_stock",AJ205,100,$A$1)</f>
        <v>非银金融</v>
      </c>
      <c r="AO205" s="92">
        <v>46104</v>
      </c>
      <c r="AP205" s="84" t="s">
        <v>420</v>
      </c>
      <c r="AQ205" s="84" t="s">
        <v>421</v>
      </c>
      <c r="AR205" s="93">
        <v>0.247</v>
      </c>
      <c r="AS205" s="72" t="str">
        <f ca="1">[1]!thsiFinD("ths_the_sw_industry_stock",AP205,100,$A$1)</f>
        <v>计算机</v>
      </c>
    </row>
    <row r="206" spans="35:45">
      <c r="AI206" s="92">
        <v>46104</v>
      </c>
      <c r="AJ206" s="84" t="s">
        <v>955</v>
      </c>
      <c r="AK206" s="84" t="s">
        <v>956</v>
      </c>
      <c r="AL206" s="93">
        <v>0.24</v>
      </c>
      <c r="AM206" s="72" t="str">
        <f ca="1">[1]!thsiFinD("ths_the_sw_industry_stock",AJ206,100,$A$1)</f>
        <v>交通运输</v>
      </c>
      <c r="AO206" s="92">
        <v>46104</v>
      </c>
      <c r="AP206" s="84" t="s">
        <v>179</v>
      </c>
      <c r="AQ206" s="84" t="s">
        <v>427</v>
      </c>
      <c r="AR206" s="93">
        <v>8.6999999999999994E-2</v>
      </c>
      <c r="AS206" s="72" t="str">
        <f ca="1">[1]!thsiFinD("ths_the_sw_industry_stock",AP206,100,$A$1)</f>
        <v>医药生物</v>
      </c>
    </row>
    <row r="207" spans="35:45">
      <c r="AI207" s="92">
        <v>46104</v>
      </c>
      <c r="AJ207" s="84" t="s">
        <v>957</v>
      </c>
      <c r="AK207" s="84" t="s">
        <v>958</v>
      </c>
      <c r="AL207" s="93">
        <v>0.27100000000000002</v>
      </c>
      <c r="AM207" s="72" t="str">
        <f ca="1">[1]!thsiFinD("ths_the_sw_industry_stock",AJ207,100,$A$1)</f>
        <v>银行</v>
      </c>
      <c r="AO207" s="92">
        <v>46104</v>
      </c>
      <c r="AP207" s="84" t="s">
        <v>430</v>
      </c>
      <c r="AQ207" s="100" t="s">
        <v>431</v>
      </c>
      <c r="AR207" s="93">
        <v>0.107</v>
      </c>
      <c r="AS207" s="72" t="str">
        <f ca="1">[1]!thsiFinD("ths_the_sw_industry_stock",AP207,100,$A$1)</f>
        <v>医药生物</v>
      </c>
    </row>
    <row r="208" spans="35:45">
      <c r="AI208" s="92">
        <v>46104</v>
      </c>
      <c r="AJ208" s="84" t="s">
        <v>959</v>
      </c>
      <c r="AK208" s="84" t="s">
        <v>960</v>
      </c>
      <c r="AL208" s="93">
        <v>0.432</v>
      </c>
      <c r="AM208" s="72" t="str">
        <f ca="1">[1]!thsiFinD("ths_the_sw_industry_stock",AJ208,100,$A$1)</f>
        <v>电力设备</v>
      </c>
      <c r="AO208" s="92">
        <v>46104</v>
      </c>
      <c r="AP208" s="84" t="s">
        <v>432</v>
      </c>
      <c r="AQ208" s="84" t="s">
        <v>433</v>
      </c>
      <c r="AR208" s="93">
        <v>0.27400000000000002</v>
      </c>
      <c r="AS208" s="72" t="str">
        <f ca="1">[1]!thsiFinD("ths_the_sw_industry_stock",AP208,100,$A$1)</f>
        <v>机械设备</v>
      </c>
    </row>
    <row r="209" spans="35:45">
      <c r="AI209" s="92">
        <v>46104</v>
      </c>
      <c r="AJ209" s="84" t="s">
        <v>961</v>
      </c>
      <c r="AK209" s="84" t="s">
        <v>962</v>
      </c>
      <c r="AL209" s="93">
        <v>6.5000000000000002E-2</v>
      </c>
      <c r="AM209" s="72" t="str">
        <f ca="1">[1]!thsiFinD("ths_the_sw_industry_stock",AJ209,100,$A$1)</f>
        <v>交通运输</v>
      </c>
      <c r="AO209" s="92">
        <v>46104</v>
      </c>
      <c r="AP209" s="84" t="s">
        <v>1449</v>
      </c>
      <c r="AQ209" s="84" t="s">
        <v>1450</v>
      </c>
      <c r="AR209" s="93">
        <v>0.19800000000000001</v>
      </c>
      <c r="AS209" s="72" t="str">
        <f ca="1">[1]!thsiFinD("ths_the_sw_industry_stock",AP209,100,$A$1)</f>
        <v>通信</v>
      </c>
    </row>
    <row r="210" spans="35:45">
      <c r="AI210" s="92">
        <v>46104</v>
      </c>
      <c r="AJ210" s="84" t="s">
        <v>963</v>
      </c>
      <c r="AK210" s="84" t="s">
        <v>964</v>
      </c>
      <c r="AL210" s="93">
        <v>0.105</v>
      </c>
      <c r="AM210" s="72" t="str">
        <f ca="1">[1]!thsiFinD("ths_the_sw_industry_stock",AJ210,100,$A$1)</f>
        <v>交通运输</v>
      </c>
      <c r="AO210" s="92">
        <v>46104</v>
      </c>
      <c r="AP210" s="84" t="s">
        <v>434</v>
      </c>
      <c r="AQ210" s="84" t="s">
        <v>435</v>
      </c>
      <c r="AR210" s="93">
        <v>9.2999999999999999E-2</v>
      </c>
      <c r="AS210" s="72" t="str">
        <f ca="1">[1]!thsiFinD("ths_the_sw_industry_stock",AP210,100,$A$1)</f>
        <v>医药生物</v>
      </c>
    </row>
    <row r="211" spans="35:45">
      <c r="AI211" s="92">
        <v>46104</v>
      </c>
      <c r="AJ211" s="84" t="s">
        <v>965</v>
      </c>
      <c r="AK211" s="84" t="s">
        <v>966</v>
      </c>
      <c r="AL211" s="93">
        <v>0.161</v>
      </c>
      <c r="AM211" s="72" t="str">
        <f ca="1">[1]!thsiFinD("ths_the_sw_industry_stock",AJ211,100,$A$1)</f>
        <v>汽车</v>
      </c>
      <c r="AO211" s="92">
        <v>46104</v>
      </c>
      <c r="AP211" s="84" t="s">
        <v>436</v>
      </c>
      <c r="AQ211" s="84" t="s">
        <v>437</v>
      </c>
      <c r="AR211" s="93">
        <v>0.58899999999999997</v>
      </c>
      <c r="AS211" s="72" t="str">
        <f ca="1">[1]!thsiFinD("ths_the_sw_industry_stock",AP211,100,$A$1)</f>
        <v>电子</v>
      </c>
    </row>
    <row r="212" spans="35:45">
      <c r="AI212" s="92">
        <v>46104</v>
      </c>
      <c r="AJ212" s="84" t="s">
        <v>967</v>
      </c>
      <c r="AK212" s="84" t="s">
        <v>968</v>
      </c>
      <c r="AL212" s="93">
        <v>6.7000000000000004E-2</v>
      </c>
      <c r="AM212" s="72" t="str">
        <f ca="1">[1]!thsiFinD("ths_the_sw_industry_stock",AJ212,100,$A$1)</f>
        <v>非银金融</v>
      </c>
      <c r="AO212" s="92">
        <v>46104</v>
      </c>
      <c r="AP212" s="84" t="s">
        <v>1451</v>
      </c>
      <c r="AQ212" s="84" t="s">
        <v>1452</v>
      </c>
      <c r="AR212" s="93">
        <v>0.157</v>
      </c>
      <c r="AS212" s="72" t="str">
        <f ca="1">[1]!thsiFinD("ths_the_sw_industry_stock",AP212,100,$A$1)</f>
        <v>电子</v>
      </c>
    </row>
    <row r="213" spans="35:45">
      <c r="AI213" s="92">
        <v>46104</v>
      </c>
      <c r="AJ213" s="84" t="s">
        <v>969</v>
      </c>
      <c r="AK213" s="84" t="s">
        <v>970</v>
      </c>
      <c r="AL213" s="93">
        <v>0.121</v>
      </c>
      <c r="AM213" s="72" t="str">
        <f ca="1">[1]!thsiFinD("ths_the_sw_industry_stock",AJ213,100,$A$1)</f>
        <v>非银金融</v>
      </c>
      <c r="AO213" s="92">
        <v>46104</v>
      </c>
      <c r="AP213" s="84" t="s">
        <v>438</v>
      </c>
      <c r="AQ213" s="84" t="s">
        <v>439</v>
      </c>
      <c r="AR213" s="93">
        <v>0.191</v>
      </c>
      <c r="AS213" s="72" t="str">
        <f ca="1">[1]!thsiFinD("ths_the_sw_industry_stock",AP213,100,$A$1)</f>
        <v>通信</v>
      </c>
    </row>
    <row r="214" spans="35:45">
      <c r="AI214" s="92">
        <v>46104</v>
      </c>
      <c r="AJ214" s="84" t="s">
        <v>971</v>
      </c>
      <c r="AK214" s="84" t="s">
        <v>972</v>
      </c>
      <c r="AL214" s="93">
        <v>0.13400000000000001</v>
      </c>
      <c r="AM214" s="72" t="str">
        <f ca="1">[1]!thsiFinD("ths_the_sw_industry_stock",AJ214,100,$A$1)</f>
        <v>银行</v>
      </c>
      <c r="AO214" s="92">
        <v>46104</v>
      </c>
      <c r="AP214" s="84" t="s">
        <v>446</v>
      </c>
      <c r="AQ214" s="84" t="s">
        <v>447</v>
      </c>
      <c r="AR214" s="93">
        <v>0.13100000000000001</v>
      </c>
      <c r="AS214" s="72" t="str">
        <f ca="1">[1]!thsiFinD("ths_the_sw_industry_stock",AP214,100,$A$1)</f>
        <v>医药生物</v>
      </c>
    </row>
    <row r="215" spans="35:45">
      <c r="AI215" s="92">
        <v>46104</v>
      </c>
      <c r="AJ215" s="84" t="s">
        <v>973</v>
      </c>
      <c r="AK215" s="84" t="s">
        <v>974</v>
      </c>
      <c r="AL215" s="93">
        <v>0.54200000000000004</v>
      </c>
      <c r="AM215" s="72" t="str">
        <f ca="1">[1]!thsiFinD("ths_the_sw_industry_stock",AJ215,100,$A$1)</f>
        <v>煤炭</v>
      </c>
      <c r="AO215" s="92">
        <v>46104</v>
      </c>
      <c r="AP215" s="84" t="s">
        <v>448</v>
      </c>
      <c r="AQ215" s="84" t="s">
        <v>449</v>
      </c>
      <c r="AR215" s="93">
        <v>0.185</v>
      </c>
      <c r="AS215" s="72" t="str">
        <f ca="1">[1]!thsiFinD("ths_the_sw_industry_stock",AP215,100,$A$1)</f>
        <v>医药生物</v>
      </c>
    </row>
    <row r="216" spans="35:45">
      <c r="AI216" s="92">
        <v>46104</v>
      </c>
      <c r="AJ216" s="84" t="s">
        <v>975</v>
      </c>
      <c r="AK216" s="84" t="s">
        <v>976</v>
      </c>
      <c r="AL216" s="93">
        <v>0.23499999999999999</v>
      </c>
      <c r="AM216" s="72" t="str">
        <f ca="1">[1]!thsiFinD("ths_the_sw_industry_stock",AJ216,100,$A$1)</f>
        <v>机械设备</v>
      </c>
      <c r="AO216" s="92">
        <v>46104</v>
      </c>
      <c r="AP216" s="84" t="s">
        <v>450</v>
      </c>
      <c r="AQ216" s="84" t="s">
        <v>451</v>
      </c>
      <c r="AR216" s="93">
        <v>0.11799999999999999</v>
      </c>
      <c r="AS216" s="72" t="str">
        <f ca="1">[1]!thsiFinD("ths_the_sw_industry_stock",AP216,100,$A$1)</f>
        <v>电子</v>
      </c>
    </row>
    <row r="217" spans="35:45">
      <c r="AI217" s="92">
        <v>46104</v>
      </c>
      <c r="AJ217" s="84" t="s">
        <v>977</v>
      </c>
      <c r="AK217" s="84" t="s">
        <v>978</v>
      </c>
      <c r="AL217" s="93">
        <v>0.123</v>
      </c>
      <c r="AM217" s="72" t="str">
        <f ca="1">[1]!thsiFinD("ths_the_sw_industry_stock",AJ217,100,$A$1)</f>
        <v>交通运输</v>
      </c>
      <c r="AO217" s="92">
        <v>46104</v>
      </c>
      <c r="AP217" s="84" t="s">
        <v>452</v>
      </c>
      <c r="AQ217" s="84" t="s">
        <v>453</v>
      </c>
      <c r="AR217" s="93">
        <v>0.217</v>
      </c>
      <c r="AS217" s="72" t="str">
        <f ca="1">[1]!thsiFinD("ths_the_sw_industry_stock",AP217,100,$A$1)</f>
        <v>国防军工</v>
      </c>
    </row>
    <row r="218" spans="35:45">
      <c r="AI218" s="92">
        <v>46104</v>
      </c>
      <c r="AJ218" s="84" t="s">
        <v>979</v>
      </c>
      <c r="AK218" s="84" t="s">
        <v>980</v>
      </c>
      <c r="AL218" s="93">
        <v>0.13300000000000001</v>
      </c>
      <c r="AM218" s="72" t="str">
        <f ca="1">[1]!thsiFinD("ths_the_sw_industry_stock",AJ218,100,$A$1)</f>
        <v>建筑装饰</v>
      </c>
      <c r="AO218" s="92">
        <v>46104</v>
      </c>
      <c r="AP218" s="84" t="s">
        <v>454</v>
      </c>
      <c r="AQ218" s="84" t="s">
        <v>455</v>
      </c>
      <c r="AR218" s="93">
        <v>8.7999999999999995E-2</v>
      </c>
      <c r="AS218" s="72" t="str">
        <f ca="1">[1]!thsiFinD("ths_the_sw_industry_stock",AP218,100,$A$1)</f>
        <v>机械设备</v>
      </c>
    </row>
    <row r="219" spans="35:45">
      <c r="AI219" s="92">
        <v>46104</v>
      </c>
      <c r="AJ219" s="84" t="s">
        <v>981</v>
      </c>
      <c r="AK219" s="84" t="s">
        <v>982</v>
      </c>
      <c r="AL219" s="93">
        <v>0.34100000000000003</v>
      </c>
      <c r="AM219" s="72" t="str">
        <f ca="1">[1]!thsiFinD("ths_the_sw_industry_stock",AJ219,100,$A$1)</f>
        <v>汽车</v>
      </c>
      <c r="AO219" s="92">
        <v>46104</v>
      </c>
      <c r="AP219" s="84" t="s">
        <v>456</v>
      </c>
      <c r="AQ219" s="84" t="s">
        <v>457</v>
      </c>
      <c r="AR219" s="93">
        <v>0.316</v>
      </c>
      <c r="AS219" s="72" t="str">
        <f ca="1">[1]!thsiFinD("ths_the_sw_industry_stock",AP219,100,$A$1)</f>
        <v>电力设备</v>
      </c>
    </row>
    <row r="220" spans="35:45">
      <c r="AI220" s="92">
        <v>46104</v>
      </c>
      <c r="AJ220" s="84" t="s">
        <v>983</v>
      </c>
      <c r="AK220" s="84" t="s">
        <v>984</v>
      </c>
      <c r="AL220" s="93">
        <v>3.9E-2</v>
      </c>
      <c r="AM220" s="72" t="str">
        <f ca="1">[1]!thsiFinD("ths_the_sw_industry_stock",AJ220,100,$A$1)</f>
        <v>非银金融</v>
      </c>
      <c r="AO220" s="92">
        <v>46104</v>
      </c>
      <c r="AP220" s="84" t="s">
        <v>458</v>
      </c>
      <c r="AQ220" s="84" t="s">
        <v>459</v>
      </c>
      <c r="AR220" s="93">
        <v>0.112</v>
      </c>
      <c r="AS220" s="72" t="str">
        <f ca="1">[1]!thsiFinD("ths_the_sw_industry_stock",AP220,100,$A$1)</f>
        <v>电子</v>
      </c>
    </row>
    <row r="221" spans="35:45">
      <c r="AI221" s="92">
        <v>46104</v>
      </c>
      <c r="AJ221" s="84" t="s">
        <v>985</v>
      </c>
      <c r="AK221" s="84" t="s">
        <v>986</v>
      </c>
      <c r="AL221" s="93">
        <v>0.86099999999999999</v>
      </c>
      <c r="AM221" s="72" t="str">
        <f ca="1">[1]!thsiFinD("ths_the_sw_industry_stock",AJ221,100,$A$1)</f>
        <v>电子</v>
      </c>
      <c r="AO221" s="92">
        <v>46104</v>
      </c>
      <c r="AP221" s="84" t="s">
        <v>460</v>
      </c>
      <c r="AQ221" s="84" t="s">
        <v>461</v>
      </c>
      <c r="AR221" s="93">
        <v>0.25800000000000001</v>
      </c>
      <c r="AS221" s="72" t="str">
        <f ca="1">[1]!thsiFinD("ths_the_sw_industry_stock",AP221,100,$A$1)</f>
        <v>有色金属</v>
      </c>
    </row>
    <row r="222" spans="35:45">
      <c r="AI222" s="92">
        <v>46104</v>
      </c>
      <c r="AJ222" s="84" t="s">
        <v>987</v>
      </c>
      <c r="AK222" s="84" t="s">
        <v>988</v>
      </c>
      <c r="AL222" s="93">
        <v>1.206</v>
      </c>
      <c r="AM222" s="72" t="str">
        <f ca="1">[1]!thsiFinD("ths_the_sw_industry_stock",AJ222,100,$A$1)</f>
        <v>银行</v>
      </c>
      <c r="AO222" s="92">
        <v>46104</v>
      </c>
      <c r="AP222" s="84" t="s">
        <v>464</v>
      </c>
      <c r="AQ222" s="84" t="s">
        <v>465</v>
      </c>
      <c r="AR222" s="93">
        <v>0.44900000000000001</v>
      </c>
      <c r="AS222" s="72" t="str">
        <f ca="1">[1]!thsiFinD("ths_the_sw_industry_stock",AP222,100,$A$1)</f>
        <v>电力设备</v>
      </c>
    </row>
    <row r="223" spans="35:45">
      <c r="AI223" s="92">
        <v>46104</v>
      </c>
      <c r="AJ223" s="84" t="s">
        <v>989</v>
      </c>
      <c r="AK223" s="84" t="s">
        <v>990</v>
      </c>
      <c r="AL223" s="93">
        <v>0.31</v>
      </c>
      <c r="AM223" s="72" t="str">
        <f ca="1">[1]!thsiFinD("ths_the_sw_industry_stock",AJ223,100,$A$1)</f>
        <v>银行</v>
      </c>
      <c r="AO223" s="92">
        <v>46104</v>
      </c>
      <c r="AP223" s="84" t="s">
        <v>1453</v>
      </c>
      <c r="AQ223" s="84" t="s">
        <v>1454</v>
      </c>
      <c r="AR223" s="93">
        <v>0.38100000000000001</v>
      </c>
      <c r="AS223" s="72" t="str">
        <f ca="1">[1]!thsiFinD("ths_the_sw_industry_stock",AP223,100,$A$1)</f>
        <v>机械设备</v>
      </c>
    </row>
    <row r="224" spans="35:45">
      <c r="AI224" s="92">
        <v>46104</v>
      </c>
      <c r="AJ224" s="84" t="s">
        <v>991</v>
      </c>
      <c r="AK224" s="84" t="s">
        <v>992</v>
      </c>
      <c r="AL224" s="93">
        <v>0.13200000000000001</v>
      </c>
      <c r="AM224" s="72" t="str">
        <f ca="1">[1]!thsiFinD("ths_the_sw_industry_stock",AJ224,100,$A$1)</f>
        <v>建筑装饰</v>
      </c>
      <c r="AO224" s="92">
        <v>46104</v>
      </c>
      <c r="AP224" s="84" t="s">
        <v>180</v>
      </c>
      <c r="AQ224" s="101" t="s">
        <v>471</v>
      </c>
      <c r="AR224" s="93">
        <v>0.184</v>
      </c>
      <c r="AS224" s="72" t="str">
        <f ca="1">[1]!thsiFinD("ths_the_sw_industry_stock",AP224,100,$A$1)</f>
        <v>电力设备</v>
      </c>
    </row>
    <row r="225" spans="35:45">
      <c r="AI225" s="92">
        <v>46104</v>
      </c>
      <c r="AJ225" s="84" t="s">
        <v>993</v>
      </c>
      <c r="AK225" s="84" t="s">
        <v>994</v>
      </c>
      <c r="AL225" s="93">
        <v>0.83199999999999996</v>
      </c>
      <c r="AM225" s="72" t="str">
        <f ca="1">[1]!thsiFinD("ths_the_sw_industry_stock",AJ225,100,$A$1)</f>
        <v>非银金融</v>
      </c>
      <c r="AO225" s="92">
        <v>46104</v>
      </c>
      <c r="AP225" s="84" t="s">
        <v>480</v>
      </c>
      <c r="AQ225" s="84" t="s">
        <v>481</v>
      </c>
      <c r="AR225" s="93">
        <v>0.59299999999999997</v>
      </c>
      <c r="AS225" s="72" t="str">
        <f ca="1">[1]!thsiFinD("ths_the_sw_industry_stock",AP225,100,$A$1)</f>
        <v>电子</v>
      </c>
    </row>
    <row r="226" spans="35:45">
      <c r="AI226" s="92">
        <v>46104</v>
      </c>
      <c r="AJ226" s="84" t="s">
        <v>995</v>
      </c>
      <c r="AK226" s="84" t="s">
        <v>996</v>
      </c>
      <c r="AL226" s="93">
        <v>0.35799999999999998</v>
      </c>
      <c r="AM226" s="72" t="str">
        <f ca="1">[1]!thsiFinD("ths_the_sw_industry_stock",AJ226,100,$A$1)</f>
        <v>煤炭</v>
      </c>
      <c r="AO226" s="92">
        <v>46104</v>
      </c>
      <c r="AP226" s="84" t="s">
        <v>484</v>
      </c>
      <c r="AQ226" s="84" t="s">
        <v>485</v>
      </c>
      <c r="AR226" s="93">
        <v>7.5999999999999998E-2</v>
      </c>
      <c r="AS226" s="72" t="str">
        <f ca="1">[1]!thsiFinD("ths_the_sw_industry_stock",AP226,100,$A$1)</f>
        <v>美容护理</v>
      </c>
    </row>
    <row r="227" spans="35:45">
      <c r="AI227" s="92">
        <v>46104</v>
      </c>
      <c r="AJ227" s="84" t="s">
        <v>997</v>
      </c>
      <c r="AK227" s="84" t="s">
        <v>998</v>
      </c>
      <c r="AL227" s="93">
        <v>0.375</v>
      </c>
      <c r="AM227" s="72" t="str">
        <f ca="1">[1]!thsiFinD("ths_the_sw_industry_stock",AJ227,100,$A$1)</f>
        <v>银行</v>
      </c>
      <c r="AO227" s="92">
        <v>46104</v>
      </c>
      <c r="AP227" s="84" t="s">
        <v>488</v>
      </c>
      <c r="AQ227" s="84" t="s">
        <v>489</v>
      </c>
      <c r="AR227" s="93">
        <v>0.247</v>
      </c>
      <c r="AS227" s="72" t="str">
        <f ca="1">[1]!thsiFinD("ths_the_sw_industry_stock",AP227,100,$A$1)</f>
        <v>电力设备</v>
      </c>
    </row>
    <row r="228" spans="35:45">
      <c r="AI228" s="92">
        <v>46104</v>
      </c>
      <c r="AJ228" s="84" t="s">
        <v>999</v>
      </c>
      <c r="AK228" s="84" t="s">
        <v>1000</v>
      </c>
      <c r="AL228" s="93">
        <v>4.4999999999999998E-2</v>
      </c>
      <c r="AM228" s="72" t="str">
        <f ca="1">[1]!thsiFinD("ths_the_sw_industry_stock",AJ228,100,$A$1)</f>
        <v>非银金融</v>
      </c>
      <c r="AO228" s="92">
        <v>46104</v>
      </c>
      <c r="AP228" s="84" t="s">
        <v>490</v>
      </c>
      <c r="AQ228" s="84" t="s">
        <v>491</v>
      </c>
      <c r="AR228" s="93">
        <v>9.1999999999999998E-2</v>
      </c>
      <c r="AS228" s="72" t="str">
        <f ca="1">[1]!thsiFinD("ths_the_sw_industry_stock",AP228,100,$A$1)</f>
        <v>美容护理</v>
      </c>
    </row>
    <row r="229" spans="35:45">
      <c r="AI229" s="92">
        <v>46104</v>
      </c>
      <c r="AJ229" s="84" t="s">
        <v>1001</v>
      </c>
      <c r="AK229" s="84" t="s">
        <v>1002</v>
      </c>
      <c r="AL229" s="93">
        <v>6.9000000000000006E-2</v>
      </c>
      <c r="AM229" s="72" t="str">
        <f ca="1">[1]!thsiFinD("ths_the_sw_industry_stock",AJ229,100,$A$1)</f>
        <v>汽车</v>
      </c>
      <c r="AO229" s="92">
        <v>46104</v>
      </c>
      <c r="AP229" s="84" t="s">
        <v>492</v>
      </c>
      <c r="AQ229" s="84" t="s">
        <v>493</v>
      </c>
      <c r="AR229" s="93">
        <v>0.17799999999999999</v>
      </c>
      <c r="AS229" s="72" t="str">
        <f ca="1">[1]!thsiFinD("ths_the_sw_industry_stock",AP229,100,$A$1)</f>
        <v>商贸零售</v>
      </c>
    </row>
    <row r="230" spans="35:45">
      <c r="AI230" s="92">
        <v>46104</v>
      </c>
      <c r="AJ230" s="84" t="s">
        <v>1003</v>
      </c>
      <c r="AK230" s="84" t="s">
        <v>1004</v>
      </c>
      <c r="AL230" s="93">
        <v>0.71499999999999997</v>
      </c>
      <c r="AM230" s="72" t="str">
        <f ca="1">[1]!thsiFinD("ths_the_sw_industry_stock",AJ230,100,$A$1)</f>
        <v>银行</v>
      </c>
      <c r="AO230" s="92">
        <v>46104</v>
      </c>
      <c r="AP230" s="84" t="s">
        <v>500</v>
      </c>
      <c r="AQ230" s="84" t="s">
        <v>501</v>
      </c>
      <c r="AR230" s="93">
        <v>9.1999999999999998E-2</v>
      </c>
      <c r="AS230" s="72" t="str">
        <f ca="1">[1]!thsiFinD("ths_the_sw_industry_stock",AP230,100,$A$1)</f>
        <v>机械设备</v>
      </c>
    </row>
    <row r="231" spans="35:45">
      <c r="AI231" s="92">
        <v>46104</v>
      </c>
      <c r="AJ231" s="84" t="s">
        <v>1005</v>
      </c>
      <c r="AK231" s="84" t="s">
        <v>1006</v>
      </c>
      <c r="AL231" s="93">
        <v>2.5000000000000001E-2</v>
      </c>
      <c r="AM231" s="72" t="str">
        <f ca="1">[1]!thsiFinD("ths_the_sw_industry_stock",AJ231,100,$A$1)</f>
        <v>交通运输</v>
      </c>
      <c r="AO231" s="92">
        <v>46104</v>
      </c>
      <c r="AP231" s="84" t="s">
        <v>506</v>
      </c>
      <c r="AQ231" s="84" t="s">
        <v>507</v>
      </c>
      <c r="AR231" s="93">
        <v>7.0000000000000007E-2</v>
      </c>
      <c r="AS231" s="72" t="str">
        <f ca="1">[1]!thsiFinD("ths_the_sw_industry_stock",AP231,100,$A$1)</f>
        <v>医药生物</v>
      </c>
    </row>
    <row r="232" spans="35:45">
      <c r="AI232" s="92">
        <v>46104</v>
      </c>
      <c r="AJ232" s="84" t="s">
        <v>1007</v>
      </c>
      <c r="AK232" s="84" t="s">
        <v>1008</v>
      </c>
      <c r="AL232" s="93">
        <v>2.6160000000000001</v>
      </c>
      <c r="AM232" s="72" t="str">
        <f ca="1">[1]!thsiFinD("ths_the_sw_industry_stock",AJ232,100,$A$1)</f>
        <v>非银金融</v>
      </c>
      <c r="AO232" s="92">
        <v>46104</v>
      </c>
      <c r="AP232" s="84" t="s">
        <v>508</v>
      </c>
      <c r="AQ232" s="84" t="s">
        <v>509</v>
      </c>
      <c r="AR232" s="93">
        <v>0.44900000000000001</v>
      </c>
      <c r="AS232" s="72" t="str">
        <f ca="1">[1]!thsiFinD("ths_the_sw_industry_stock",AP232,100,$A$1)</f>
        <v>电子</v>
      </c>
    </row>
    <row r="233" spans="35:45">
      <c r="AI233" s="92">
        <v>46104</v>
      </c>
      <c r="AJ233" s="84" t="s">
        <v>1009</v>
      </c>
      <c r="AK233" s="84" t="s">
        <v>1010</v>
      </c>
      <c r="AL233" s="93">
        <v>0.107</v>
      </c>
      <c r="AM233" s="72" t="str">
        <f ca="1">[1]!thsiFinD("ths_the_sw_industry_stock",AJ233,100,$A$1)</f>
        <v>非银金融</v>
      </c>
      <c r="AO233" s="92">
        <v>46104</v>
      </c>
      <c r="AP233" s="84" t="s">
        <v>510</v>
      </c>
      <c r="AQ233" s="84" t="s">
        <v>511</v>
      </c>
      <c r="AR233" s="93">
        <v>0.28100000000000003</v>
      </c>
      <c r="AS233" s="72" t="str">
        <f ca="1">[1]!thsiFinD("ths_the_sw_industry_stock",AP233,100,$A$1)</f>
        <v>电力设备</v>
      </c>
    </row>
    <row r="234" spans="35:45">
      <c r="AI234" s="92">
        <v>46104</v>
      </c>
      <c r="AJ234" s="84" t="s">
        <v>1011</v>
      </c>
      <c r="AK234" s="84" t="s">
        <v>1012</v>
      </c>
      <c r="AL234" s="93">
        <v>0.68</v>
      </c>
      <c r="AM234" s="72" t="str">
        <f ca="1">[1]!thsiFinD("ths_the_sw_industry_stock",AJ234,100,$A$1)</f>
        <v>银行</v>
      </c>
      <c r="AO234" s="92">
        <v>46104</v>
      </c>
      <c r="AP234" s="84" t="s">
        <v>512</v>
      </c>
      <c r="AQ234" s="84" t="s">
        <v>513</v>
      </c>
      <c r="AR234" s="93">
        <v>6.8000000000000005E-2</v>
      </c>
      <c r="AS234" s="72" t="str">
        <f ca="1">[1]!thsiFinD("ths_the_sw_industry_stock",AP234,100,$A$1)</f>
        <v>农林牧渔</v>
      </c>
    </row>
    <row r="235" spans="35:45">
      <c r="AI235" s="92">
        <v>46104</v>
      </c>
      <c r="AJ235" s="84" t="s">
        <v>1013</v>
      </c>
      <c r="AK235" s="84" t="s">
        <v>1014</v>
      </c>
      <c r="AL235" s="93">
        <v>0.245</v>
      </c>
      <c r="AM235" s="72" t="str">
        <f ca="1">[1]!thsiFinD("ths_the_sw_industry_stock",AJ235,100,$A$1)</f>
        <v>非银金融</v>
      </c>
      <c r="AO235" s="92">
        <v>46104</v>
      </c>
      <c r="AP235" s="84" t="s">
        <v>514</v>
      </c>
      <c r="AQ235" s="84" t="s">
        <v>515</v>
      </c>
      <c r="AR235" s="93">
        <v>0.13</v>
      </c>
      <c r="AS235" s="72" t="str">
        <f ca="1">[1]!thsiFinD("ths_the_sw_industry_stock",AP235,100,$A$1)</f>
        <v>电子</v>
      </c>
    </row>
    <row r="236" spans="35:45">
      <c r="AI236" s="92">
        <v>46104</v>
      </c>
      <c r="AJ236" s="84" t="s">
        <v>1015</v>
      </c>
      <c r="AK236" s="84" t="s">
        <v>1016</v>
      </c>
      <c r="AL236" s="93">
        <v>0.16900000000000001</v>
      </c>
      <c r="AM236" s="72" t="str">
        <f ca="1">[1]!thsiFinD("ths_the_sw_industry_stock",AJ236,100,$A$1)</f>
        <v>计算机</v>
      </c>
      <c r="AO236" s="92">
        <v>46104</v>
      </c>
      <c r="AP236" s="84" t="s">
        <v>516</v>
      </c>
      <c r="AQ236" s="84" t="s">
        <v>517</v>
      </c>
      <c r="AR236" s="93">
        <v>0.20200000000000001</v>
      </c>
      <c r="AS236" s="72" t="str">
        <f ca="1">[1]!thsiFinD("ths_the_sw_industry_stock",AP236,100,$A$1)</f>
        <v>电子</v>
      </c>
    </row>
    <row r="237" spans="35:45">
      <c r="AI237" s="92">
        <v>46104</v>
      </c>
      <c r="AJ237" s="84" t="s">
        <v>1017</v>
      </c>
      <c r="AK237" s="84" t="s">
        <v>1018</v>
      </c>
      <c r="AL237" s="93">
        <v>0.18099999999999999</v>
      </c>
      <c r="AM237" s="72" t="str">
        <f ca="1">[1]!thsiFinD("ths_the_sw_industry_stock",AJ237,100,$A$1)</f>
        <v>非银金融</v>
      </c>
      <c r="AO237" s="92">
        <v>46104</v>
      </c>
      <c r="AP237" s="84" t="s">
        <v>1455</v>
      </c>
      <c r="AQ237" s="84" t="s">
        <v>1456</v>
      </c>
      <c r="AR237" s="93">
        <v>8.8999999999999996E-2</v>
      </c>
      <c r="AS237" s="72" t="str">
        <f ca="1">[1]!thsiFinD("ths_the_sw_industry_stock",AP237,100,$A$1)</f>
        <v>交通运输</v>
      </c>
    </row>
    <row r="238" spans="35:45">
      <c r="AI238" s="92">
        <v>46104</v>
      </c>
      <c r="AJ238" s="84" t="s">
        <v>1019</v>
      </c>
      <c r="AK238" s="84" t="s">
        <v>1020</v>
      </c>
      <c r="AL238" s="93">
        <v>0.251</v>
      </c>
      <c r="AM238" s="72" t="str">
        <f ca="1">[1]!thsiFinD("ths_the_sw_industry_stock",AJ238,100,$A$1)</f>
        <v>建筑装饰</v>
      </c>
      <c r="AO238" s="92">
        <v>46104</v>
      </c>
      <c r="AP238" s="84" t="s">
        <v>1457</v>
      </c>
      <c r="AQ238" s="84" t="s">
        <v>1458</v>
      </c>
      <c r="AR238" s="93">
        <v>3.7999999999999999E-2</v>
      </c>
      <c r="AS238" s="72" t="str">
        <f ca="1">[1]!thsiFinD("ths_the_sw_industry_stock",AP238,100,$A$1)</f>
        <v>房地产</v>
      </c>
    </row>
    <row r="239" spans="35:45">
      <c r="AI239" s="92">
        <v>46104</v>
      </c>
      <c r="AJ239" s="84" t="s">
        <v>1021</v>
      </c>
      <c r="AK239" s="84" t="s">
        <v>1022</v>
      </c>
      <c r="AL239" s="93">
        <v>0.871</v>
      </c>
      <c r="AM239" s="72" t="str">
        <f ca="1">[1]!thsiFinD("ths_the_sw_industry_stock",AJ239,100,$A$1)</f>
        <v>银行</v>
      </c>
      <c r="AO239" s="92">
        <v>46104</v>
      </c>
      <c r="AP239" s="84" t="s">
        <v>1459</v>
      </c>
      <c r="AQ239" s="84" t="s">
        <v>1460</v>
      </c>
      <c r="AR239" s="93">
        <v>0.128</v>
      </c>
      <c r="AS239" s="72" t="str">
        <f ca="1">[1]!thsiFinD("ths_the_sw_industry_stock",AP239,100,$A$1)</f>
        <v>环保</v>
      </c>
    </row>
    <row r="240" spans="35:45">
      <c r="AI240" s="92">
        <v>46104</v>
      </c>
      <c r="AJ240" s="84" t="s">
        <v>1023</v>
      </c>
      <c r="AK240" s="84" t="s">
        <v>1024</v>
      </c>
      <c r="AL240" s="93">
        <v>0.06</v>
      </c>
      <c r="AM240" s="72" t="str">
        <f ca="1">[1]!thsiFinD("ths_the_sw_industry_stock",AJ240,100,$A$1)</f>
        <v>非银金融</v>
      </c>
      <c r="AO240" s="92">
        <v>46104</v>
      </c>
      <c r="AP240" s="84" t="s">
        <v>1461</v>
      </c>
      <c r="AQ240" s="84" t="s">
        <v>1462</v>
      </c>
      <c r="AR240" s="93">
        <v>0.28299999999999997</v>
      </c>
      <c r="AS240" s="72" t="str">
        <f ca="1">[1]!thsiFinD("ths_the_sw_industry_stock",AP240,100,$A$1)</f>
        <v>公用事业</v>
      </c>
    </row>
    <row r="241" spans="35:45">
      <c r="AI241" s="92">
        <v>46104</v>
      </c>
      <c r="AJ241" s="84" t="s">
        <v>1025</v>
      </c>
      <c r="AK241" s="84" t="s">
        <v>1026</v>
      </c>
      <c r="AL241" s="93">
        <v>0.42299999999999999</v>
      </c>
      <c r="AM241" s="72" t="str">
        <f ca="1">[1]!thsiFinD("ths_the_sw_industry_stock",AJ241,100,$A$1)</f>
        <v>有色金属</v>
      </c>
      <c r="AO241" s="92">
        <v>46104</v>
      </c>
      <c r="AP241" s="84" t="s">
        <v>1463</v>
      </c>
      <c r="AQ241" s="84" t="s">
        <v>1464</v>
      </c>
      <c r="AR241" s="93">
        <v>5.5E-2</v>
      </c>
      <c r="AS241" s="72" t="str">
        <f ca="1">[1]!thsiFinD("ths_the_sw_industry_stock",AP241,100,$A$1)</f>
        <v>公用事业</v>
      </c>
    </row>
    <row r="242" spans="35:45">
      <c r="AI242" s="92">
        <v>46104</v>
      </c>
      <c r="AJ242" s="84" t="s">
        <v>1027</v>
      </c>
      <c r="AK242" s="84" t="s">
        <v>1028</v>
      </c>
      <c r="AL242" s="93">
        <v>0.54300000000000004</v>
      </c>
      <c r="AM242" s="72" t="str">
        <f ca="1">[1]!thsiFinD("ths_the_sw_industry_stock",AJ242,100,$A$1)</f>
        <v>非银金融</v>
      </c>
      <c r="AO242" s="92">
        <v>46104</v>
      </c>
      <c r="AP242" s="84" t="s">
        <v>1465</v>
      </c>
      <c r="AQ242" s="84" t="s">
        <v>1466</v>
      </c>
      <c r="AR242" s="93">
        <v>0.14599999999999999</v>
      </c>
      <c r="AS242" s="72" t="str">
        <f ca="1">[1]!thsiFinD("ths_the_sw_industry_stock",AP242,100,$A$1)</f>
        <v>国防军工</v>
      </c>
    </row>
    <row r="243" spans="35:45">
      <c r="AI243" s="92">
        <v>46104</v>
      </c>
      <c r="AJ243" s="84" t="s">
        <v>1029</v>
      </c>
      <c r="AK243" s="84" t="s">
        <v>1030</v>
      </c>
      <c r="AL243" s="93">
        <v>7.4999999999999997E-2</v>
      </c>
      <c r="AM243" s="72" t="str">
        <f ca="1">[1]!thsiFinD("ths_the_sw_industry_stock",AJ243,100,$A$1)</f>
        <v>医药生物</v>
      </c>
      <c r="AO243" s="92">
        <v>46104</v>
      </c>
      <c r="AP243" s="84" t="s">
        <v>1467</v>
      </c>
      <c r="AQ243" s="84" t="s">
        <v>1468</v>
      </c>
      <c r="AR243" s="93">
        <v>0.16200000000000001</v>
      </c>
      <c r="AS243" s="72" t="str">
        <f ca="1">[1]!thsiFinD("ths_the_sw_industry_stock",AP243,100,$A$1)</f>
        <v>家用电器</v>
      </c>
    </row>
    <row r="244" spans="35:45">
      <c r="AI244" s="92">
        <v>46104</v>
      </c>
      <c r="AJ244" s="84" t="s">
        <v>1031</v>
      </c>
      <c r="AK244" s="84" t="s">
        <v>1032</v>
      </c>
      <c r="AL244" s="93">
        <v>8.8999999999999996E-2</v>
      </c>
      <c r="AM244" s="72" t="str">
        <f ca="1">[1]!thsiFinD("ths_the_sw_industry_stock",AJ244,100,$A$1)</f>
        <v>建筑装饰</v>
      </c>
      <c r="AO244" s="92">
        <v>46104</v>
      </c>
      <c r="AP244" s="84" t="s">
        <v>1469</v>
      </c>
      <c r="AQ244" s="84" t="s">
        <v>1470</v>
      </c>
      <c r="AR244" s="93">
        <v>7.0000000000000007E-2</v>
      </c>
      <c r="AS244" s="72" t="str">
        <f ca="1">[1]!thsiFinD("ths_the_sw_industry_stock",AP244,100,$A$1)</f>
        <v>医药生物</v>
      </c>
    </row>
    <row r="245" spans="35:45">
      <c r="AI245" s="92">
        <v>46104</v>
      </c>
      <c r="AJ245" s="84" t="s">
        <v>1033</v>
      </c>
      <c r="AK245" s="84" t="s">
        <v>1034</v>
      </c>
      <c r="AL245" s="93">
        <v>0.28799999999999998</v>
      </c>
      <c r="AM245" s="72" t="str">
        <f ca="1">[1]!thsiFinD("ths_the_sw_industry_stock",AJ245,100,$A$1)</f>
        <v>非银金融</v>
      </c>
      <c r="AO245" s="92">
        <v>46104</v>
      </c>
      <c r="AP245" s="84" t="s">
        <v>1471</v>
      </c>
      <c r="AQ245" s="84" t="s">
        <v>1472</v>
      </c>
      <c r="AR245" s="93">
        <v>0.111</v>
      </c>
      <c r="AS245" s="72" t="str">
        <f ca="1">[1]!thsiFinD("ths_the_sw_industry_stock",AP245,100,$A$1)</f>
        <v>非银金融</v>
      </c>
    </row>
    <row r="246" spans="35:45">
      <c r="AI246" s="92">
        <v>46104</v>
      </c>
      <c r="AJ246" s="84" t="s">
        <v>1035</v>
      </c>
      <c r="AK246" s="84" t="s">
        <v>1036</v>
      </c>
      <c r="AL246" s="93">
        <v>0.1</v>
      </c>
      <c r="AM246" s="72" t="str">
        <f ca="1">[1]!thsiFinD("ths_the_sw_industry_stock",AJ246,100,$A$1)</f>
        <v>汽车</v>
      </c>
      <c r="AO246" s="92">
        <v>46104</v>
      </c>
      <c r="AP246" s="84" t="s">
        <v>1473</v>
      </c>
      <c r="AQ246" s="84" t="s">
        <v>1474</v>
      </c>
      <c r="AR246" s="93">
        <v>0.51900000000000002</v>
      </c>
      <c r="AS246" s="72" t="str">
        <f ca="1">[1]!thsiFinD("ths_the_sw_industry_stock",AP246,100,$A$1)</f>
        <v>基础化工</v>
      </c>
    </row>
    <row r="247" spans="35:45">
      <c r="AI247" s="92">
        <v>46104</v>
      </c>
      <c r="AJ247" s="84" t="s">
        <v>1037</v>
      </c>
      <c r="AK247" s="84" t="s">
        <v>1038</v>
      </c>
      <c r="AL247" s="93">
        <v>0.21299999999999999</v>
      </c>
      <c r="AM247" s="72" t="str">
        <f ca="1">[1]!thsiFinD("ths_the_sw_industry_stock",AJ247,100,$A$1)</f>
        <v>银行</v>
      </c>
      <c r="AO247" s="92">
        <v>46104</v>
      </c>
      <c r="AP247" s="84" t="s">
        <v>1475</v>
      </c>
      <c r="AQ247" s="84" t="s">
        <v>1476</v>
      </c>
      <c r="AR247" s="93">
        <v>7.0999999999999994E-2</v>
      </c>
      <c r="AS247" s="72" t="str">
        <f ca="1">[1]!thsiFinD("ths_the_sw_industry_stock",AP247,100,$A$1)</f>
        <v>公用事业</v>
      </c>
    </row>
    <row r="248" spans="35:45">
      <c r="AI248" s="92">
        <v>46104</v>
      </c>
      <c r="AJ248" s="84" t="s">
        <v>1039</v>
      </c>
      <c r="AK248" s="84" t="s">
        <v>1040</v>
      </c>
      <c r="AL248" s="93">
        <v>0.40500000000000003</v>
      </c>
      <c r="AM248" s="72" t="str">
        <f ca="1">[1]!thsiFinD("ths_the_sw_industry_stock",AJ248,100,$A$1)</f>
        <v>建筑装饰</v>
      </c>
      <c r="AO248" s="92">
        <v>46104</v>
      </c>
      <c r="AP248" s="84" t="s">
        <v>1477</v>
      </c>
      <c r="AQ248" s="84" t="s">
        <v>1478</v>
      </c>
      <c r="AR248" s="93">
        <v>0.217</v>
      </c>
      <c r="AS248" s="72" t="str">
        <f ca="1">[1]!thsiFinD("ths_the_sw_industry_stock",AP248,100,$A$1)</f>
        <v>非银金融</v>
      </c>
    </row>
    <row r="249" spans="35:45">
      <c r="AI249" s="92">
        <v>46104</v>
      </c>
      <c r="AJ249" s="84" t="s">
        <v>1041</v>
      </c>
      <c r="AK249" s="84" t="s">
        <v>1042</v>
      </c>
      <c r="AL249" s="93">
        <v>0.192</v>
      </c>
      <c r="AM249" s="72" t="str">
        <f ca="1">[1]!thsiFinD("ths_the_sw_industry_stock",AJ249,100,$A$1)</f>
        <v>建筑装饰</v>
      </c>
      <c r="AO249" s="92">
        <v>46104</v>
      </c>
      <c r="AP249" s="84" t="s">
        <v>1479</v>
      </c>
      <c r="AQ249" s="84" t="s">
        <v>1480</v>
      </c>
      <c r="AR249" s="93">
        <v>0.497</v>
      </c>
      <c r="AS249" s="72" t="str">
        <f ca="1">[1]!thsiFinD("ths_the_sw_industry_stock",AP249,100,$A$1)</f>
        <v>国防军工</v>
      </c>
    </row>
    <row r="250" spans="35:45">
      <c r="AI250" s="92">
        <v>46104</v>
      </c>
      <c r="AJ250" s="84" t="s">
        <v>1043</v>
      </c>
      <c r="AK250" s="84" t="s">
        <v>1044</v>
      </c>
      <c r="AL250" s="93">
        <v>0.48599999999999999</v>
      </c>
      <c r="AM250" s="72" t="str">
        <f ca="1">[1]!thsiFinD("ths_the_sw_industry_stock",AJ250,100,$A$1)</f>
        <v>非银金融</v>
      </c>
      <c r="AO250" s="92">
        <v>46104</v>
      </c>
      <c r="AP250" s="84" t="s">
        <v>1481</v>
      </c>
      <c r="AQ250" s="84" t="s">
        <v>1482</v>
      </c>
      <c r="AR250" s="93">
        <v>0.123</v>
      </c>
      <c r="AS250" s="72" t="str">
        <f ca="1">[1]!thsiFinD("ths_the_sw_industry_stock",AP250,100,$A$1)</f>
        <v>钢铁</v>
      </c>
    </row>
    <row r="251" spans="35:45">
      <c r="AI251" s="92">
        <v>46104</v>
      </c>
      <c r="AJ251" s="84" t="s">
        <v>1045</v>
      </c>
      <c r="AK251" s="84" t="s">
        <v>1046</v>
      </c>
      <c r="AL251" s="93">
        <v>0.22900000000000001</v>
      </c>
      <c r="AM251" s="72" t="str">
        <f ca="1">[1]!thsiFinD("ths_the_sw_industry_stock",AJ251,100,$A$1)</f>
        <v>汽车</v>
      </c>
      <c r="AO251" s="92">
        <v>46104</v>
      </c>
      <c r="AP251" s="84" t="s">
        <v>1483</v>
      </c>
      <c r="AQ251" s="84" t="s">
        <v>1484</v>
      </c>
      <c r="AR251" s="93">
        <v>0.109</v>
      </c>
      <c r="AS251" s="72" t="str">
        <f ca="1">[1]!thsiFinD("ths_the_sw_industry_stock",AP251,100,$A$1)</f>
        <v>计算机</v>
      </c>
    </row>
    <row r="252" spans="35:45">
      <c r="AI252" s="92">
        <v>46104</v>
      </c>
      <c r="AJ252" s="84" t="s">
        <v>1047</v>
      </c>
      <c r="AK252" s="84" t="s">
        <v>1048</v>
      </c>
      <c r="AL252" s="93">
        <v>0.123</v>
      </c>
      <c r="AM252" s="72" t="str">
        <f ca="1">[1]!thsiFinD("ths_the_sw_industry_stock",AJ252,100,$A$1)</f>
        <v>国防军工</v>
      </c>
      <c r="AO252" s="92">
        <v>46104</v>
      </c>
      <c r="AP252" s="84" t="s">
        <v>1485</v>
      </c>
      <c r="AQ252" s="84" t="s">
        <v>1486</v>
      </c>
      <c r="AR252" s="93">
        <v>0.123</v>
      </c>
      <c r="AS252" s="72" t="str">
        <f ca="1">[1]!thsiFinD("ths_the_sw_industry_stock",AP252,100,$A$1)</f>
        <v>食品饮料</v>
      </c>
    </row>
    <row r="253" spans="35:45">
      <c r="AI253" s="92">
        <v>46104</v>
      </c>
      <c r="AJ253" s="84" t="s">
        <v>1049</v>
      </c>
      <c r="AK253" s="84" t="s">
        <v>1050</v>
      </c>
      <c r="AL253" s="93">
        <v>0.35</v>
      </c>
      <c r="AM253" s="72" t="str">
        <f ca="1">[1]!thsiFinD("ths_the_sw_industry_stock",AJ253,100,$A$1)</f>
        <v>通信</v>
      </c>
      <c r="AO253" s="92">
        <v>46104</v>
      </c>
      <c r="AP253" s="84" t="s">
        <v>1487</v>
      </c>
      <c r="AQ253" s="84" t="s">
        <v>1488</v>
      </c>
      <c r="AR253" s="93">
        <v>0.30499999999999999</v>
      </c>
      <c r="AS253" s="72" t="str">
        <f ca="1">[1]!thsiFinD("ths_the_sw_industry_stock",AP253,100,$A$1)</f>
        <v>基础化工</v>
      </c>
    </row>
    <row r="254" spans="35:45">
      <c r="AI254" s="92">
        <v>46104</v>
      </c>
      <c r="AJ254" s="84" t="s">
        <v>1051</v>
      </c>
      <c r="AK254" s="84" t="s">
        <v>1052</v>
      </c>
      <c r="AL254" s="93">
        <v>0.29799999999999999</v>
      </c>
      <c r="AM254" s="72" t="str">
        <f ca="1">[1]!thsiFinD("ths_the_sw_industry_stock",AJ254,100,$A$1)</f>
        <v>机械设备</v>
      </c>
      <c r="AO254" s="92">
        <v>46104</v>
      </c>
      <c r="AP254" s="84" t="s">
        <v>1489</v>
      </c>
      <c r="AQ254" s="84" t="s">
        <v>1490</v>
      </c>
      <c r="AR254" s="93">
        <v>0.374</v>
      </c>
      <c r="AS254" s="72" t="str">
        <f ca="1">[1]!thsiFinD("ths_the_sw_industry_stock",AP254,100,$A$1)</f>
        <v>基础化工</v>
      </c>
    </row>
    <row r="255" spans="35:45">
      <c r="AI255" s="92">
        <v>46104</v>
      </c>
      <c r="AJ255" s="84" t="s">
        <v>1053</v>
      </c>
      <c r="AK255" s="84" t="s">
        <v>1054</v>
      </c>
      <c r="AL255" s="93">
        <v>0.126</v>
      </c>
      <c r="AM255" s="72" t="str">
        <f ca="1">[1]!thsiFinD("ths_the_sw_industry_stock",AJ255,100,$A$1)</f>
        <v>非银金融</v>
      </c>
      <c r="AO255" s="92">
        <v>46104</v>
      </c>
      <c r="AP255" s="84" t="s">
        <v>1491</v>
      </c>
      <c r="AQ255" s="84" t="s">
        <v>1492</v>
      </c>
      <c r="AR255" s="93">
        <v>0.155</v>
      </c>
      <c r="AS255" s="72" t="str">
        <f ca="1">[1]!thsiFinD("ths_the_sw_industry_stock",AP255,100,$A$1)</f>
        <v>交通运输</v>
      </c>
    </row>
    <row r="256" spans="35:45">
      <c r="AI256" s="92">
        <v>46104</v>
      </c>
      <c r="AJ256" s="84" t="s">
        <v>1055</v>
      </c>
      <c r="AK256" s="84" t="s">
        <v>1056</v>
      </c>
      <c r="AL256" s="93">
        <v>0.113</v>
      </c>
      <c r="AM256" s="72" t="str">
        <f ca="1">[1]!thsiFinD("ths_the_sw_industry_stock",AJ256,100,$A$1)</f>
        <v>建筑装饰</v>
      </c>
      <c r="AO256" s="92">
        <v>46104</v>
      </c>
      <c r="AP256" s="84" t="s">
        <v>1493</v>
      </c>
      <c r="AQ256" s="84" t="s">
        <v>1494</v>
      </c>
      <c r="AR256" s="93">
        <v>0.36599999999999999</v>
      </c>
      <c r="AS256" s="72" t="str">
        <f ca="1">[1]!thsiFinD("ths_the_sw_industry_stock",AP256,100,$A$1)</f>
        <v>煤炭</v>
      </c>
    </row>
    <row r="257" spans="35:45">
      <c r="AI257" s="92">
        <v>46104</v>
      </c>
      <c r="AJ257" s="84" t="s">
        <v>1057</v>
      </c>
      <c r="AK257" s="84" t="s">
        <v>1058</v>
      </c>
      <c r="AL257" s="93">
        <v>3.9E-2</v>
      </c>
      <c r="AM257" s="72" t="str">
        <f ca="1">[1]!thsiFinD("ths_the_sw_industry_stock",AJ257,100,$A$1)</f>
        <v>石油石化</v>
      </c>
      <c r="AO257" s="92">
        <v>46104</v>
      </c>
      <c r="AP257" s="84" t="s">
        <v>1495</v>
      </c>
      <c r="AQ257" s="84" t="s">
        <v>1496</v>
      </c>
      <c r="AR257" s="93">
        <v>0.13900000000000001</v>
      </c>
      <c r="AS257" s="72" t="str">
        <f ca="1">[1]!thsiFinD("ths_the_sw_industry_stock",AP257,100,$A$1)</f>
        <v>汽车</v>
      </c>
    </row>
    <row r="258" spans="35:45">
      <c r="AI258" s="92">
        <v>46104</v>
      </c>
      <c r="AJ258" s="84" t="s">
        <v>1059</v>
      </c>
      <c r="AK258" s="84" t="s">
        <v>1060</v>
      </c>
      <c r="AL258" s="93">
        <v>0.56499999999999995</v>
      </c>
      <c r="AM258" s="72" t="str">
        <f ca="1">[1]!thsiFinD("ths_the_sw_industry_stock",AJ258,100,$A$1)</f>
        <v>交通运输</v>
      </c>
      <c r="AO258" s="92">
        <v>46104</v>
      </c>
      <c r="AP258" s="84" t="s">
        <v>1497</v>
      </c>
      <c r="AQ258" s="84" t="s">
        <v>1498</v>
      </c>
      <c r="AR258" s="93">
        <v>0.14599999999999999</v>
      </c>
      <c r="AS258" s="72" t="str">
        <f ca="1">[1]!thsiFinD("ths_the_sw_industry_stock",AP258,100,$A$1)</f>
        <v>建筑装饰</v>
      </c>
    </row>
    <row r="259" spans="35:45">
      <c r="AI259" s="92">
        <v>46104</v>
      </c>
      <c r="AJ259" s="84" t="s">
        <v>1061</v>
      </c>
      <c r="AK259" s="84" t="s">
        <v>1062</v>
      </c>
      <c r="AL259" s="93">
        <v>0.23400000000000001</v>
      </c>
      <c r="AM259" s="72" t="str">
        <f ca="1">[1]!thsiFinD("ths_the_sw_industry_stock",AJ259,100,$A$1)</f>
        <v>银行</v>
      </c>
      <c r="AO259" s="92">
        <v>46104</v>
      </c>
      <c r="AP259" s="84" t="s">
        <v>1499</v>
      </c>
      <c r="AQ259" s="84" t="s">
        <v>1500</v>
      </c>
      <c r="AR259" s="93">
        <v>0.16400000000000001</v>
      </c>
      <c r="AS259" s="72" t="str">
        <f ca="1">[1]!thsiFinD("ths_the_sw_industry_stock",AP259,100,$A$1)</f>
        <v>电子</v>
      </c>
    </row>
    <row r="260" spans="35:45">
      <c r="AI260" s="92">
        <v>46104</v>
      </c>
      <c r="AJ260" s="84" t="s">
        <v>1063</v>
      </c>
      <c r="AK260" s="84" t="s">
        <v>1064</v>
      </c>
      <c r="AL260" s="93">
        <v>0.189</v>
      </c>
      <c r="AM260" s="72" t="str">
        <f ca="1">[1]!thsiFinD("ths_the_sw_industry_stock",AJ260,100,$A$1)</f>
        <v>银行</v>
      </c>
      <c r="AO260" s="92">
        <v>46104</v>
      </c>
      <c r="AP260" s="84" t="s">
        <v>1501</v>
      </c>
      <c r="AQ260" s="84" t="s">
        <v>1502</v>
      </c>
      <c r="AR260" s="93">
        <v>0.155</v>
      </c>
      <c r="AS260" s="72" t="str">
        <f ca="1">[1]!thsiFinD("ths_the_sw_industry_stock",AP260,100,$A$1)</f>
        <v>纺织服饰</v>
      </c>
    </row>
    <row r="261" spans="35:45">
      <c r="AI261" s="92">
        <v>46104</v>
      </c>
      <c r="AJ261" s="84" t="s">
        <v>1065</v>
      </c>
      <c r="AK261" s="84" t="s">
        <v>1066</v>
      </c>
      <c r="AL261" s="93">
        <v>0.16</v>
      </c>
      <c r="AM261" s="72" t="str">
        <f ca="1">[1]!thsiFinD("ths_the_sw_industry_stock",AJ261,100,$A$1)</f>
        <v>银行</v>
      </c>
      <c r="AO261" s="92">
        <v>46104</v>
      </c>
      <c r="AP261" s="84" t="s">
        <v>1503</v>
      </c>
      <c r="AQ261" s="84" t="s">
        <v>1504</v>
      </c>
      <c r="AR261" s="93">
        <v>0.14599999999999999</v>
      </c>
      <c r="AS261" s="72" t="str">
        <f ca="1">[1]!thsiFinD("ths_the_sw_industry_stock",AP261,100,$A$1)</f>
        <v>房地产</v>
      </c>
    </row>
    <row r="262" spans="35:45">
      <c r="AI262" s="92">
        <v>46104</v>
      </c>
      <c r="AJ262" s="84" t="s">
        <v>1067</v>
      </c>
      <c r="AK262" s="84" t="s">
        <v>1068</v>
      </c>
      <c r="AL262" s="93">
        <v>0.47899999999999998</v>
      </c>
      <c r="AM262" s="72" t="str">
        <f ca="1">[1]!thsiFinD("ths_the_sw_industry_stock",AJ262,100,$A$1)</f>
        <v>石油石化</v>
      </c>
      <c r="AO262" s="92">
        <v>46104</v>
      </c>
      <c r="AP262" s="84" t="s">
        <v>1505</v>
      </c>
      <c r="AQ262" s="84" t="s">
        <v>1506</v>
      </c>
      <c r="AR262" s="93">
        <v>0.13400000000000001</v>
      </c>
      <c r="AS262" s="72" t="str">
        <f ca="1">[1]!thsiFinD("ths_the_sw_industry_stock",AP262,100,$A$1)</f>
        <v>钢铁</v>
      </c>
    </row>
    <row r="263" spans="35:45">
      <c r="AI263" s="92">
        <v>46104</v>
      </c>
      <c r="AJ263" s="84" t="s">
        <v>1069</v>
      </c>
      <c r="AK263" s="84" t="s">
        <v>1070</v>
      </c>
      <c r="AL263" s="93">
        <v>0.128</v>
      </c>
      <c r="AM263" s="72" t="str">
        <f ca="1">[1]!thsiFinD("ths_the_sw_industry_stock",AJ263,100,$A$1)</f>
        <v>建筑装饰</v>
      </c>
      <c r="AO263" s="92">
        <v>46104</v>
      </c>
      <c r="AP263" s="84" t="s">
        <v>1507</v>
      </c>
      <c r="AQ263" s="84" t="s">
        <v>1508</v>
      </c>
      <c r="AR263" s="93">
        <v>9.5000000000000001E-2</v>
      </c>
      <c r="AS263" s="72" t="str">
        <f ca="1">[1]!thsiFinD("ths_the_sw_industry_stock",AP263,100,$A$1)</f>
        <v>钢铁</v>
      </c>
    </row>
    <row r="264" spans="35:45">
      <c r="AI264" s="92">
        <v>46104</v>
      </c>
      <c r="AJ264" s="84" t="s">
        <v>1071</v>
      </c>
      <c r="AK264" s="84" t="s">
        <v>1072</v>
      </c>
      <c r="AL264" s="93">
        <v>0.20399999999999999</v>
      </c>
      <c r="AM264" s="72" t="str">
        <f ca="1">[1]!thsiFinD("ths_the_sw_industry_stock",AJ264,100,$A$1)</f>
        <v>交通运输</v>
      </c>
      <c r="AO264" s="92">
        <v>46104</v>
      </c>
      <c r="AP264" s="84" t="s">
        <v>1509</v>
      </c>
      <c r="AQ264" s="84" t="s">
        <v>1510</v>
      </c>
      <c r="AR264" s="93">
        <v>0.245</v>
      </c>
      <c r="AS264" s="72" t="str">
        <f ca="1">[1]!thsiFinD("ths_the_sw_industry_stock",AP264,100,$A$1)</f>
        <v>食品饮料</v>
      </c>
    </row>
    <row r="265" spans="35:45">
      <c r="AI265" s="92">
        <v>46104</v>
      </c>
      <c r="AJ265" s="84" t="s">
        <v>1073</v>
      </c>
      <c r="AK265" s="84" t="s">
        <v>1074</v>
      </c>
      <c r="AL265" s="93">
        <v>0.13800000000000001</v>
      </c>
      <c r="AM265" s="72" t="str">
        <f ca="1">[1]!thsiFinD("ths_the_sw_industry_stock",AJ265,100,$A$1)</f>
        <v>电力设备</v>
      </c>
      <c r="AO265" s="92">
        <v>46104</v>
      </c>
      <c r="AP265" s="84" t="s">
        <v>1511</v>
      </c>
      <c r="AQ265" s="84" t="s">
        <v>1512</v>
      </c>
      <c r="AR265" s="93">
        <v>4.1000000000000002E-2</v>
      </c>
      <c r="AS265" s="72" t="str">
        <f ca="1">[1]!thsiFinD("ths_the_sw_industry_stock",AP265,100,$A$1)</f>
        <v>基础化工</v>
      </c>
    </row>
    <row r="266" spans="35:45">
      <c r="AI266" s="92">
        <v>46104</v>
      </c>
      <c r="AJ266" s="84" t="s">
        <v>1075</v>
      </c>
      <c r="AK266" s="84" t="s">
        <v>1076</v>
      </c>
      <c r="AL266" s="93">
        <v>0.114</v>
      </c>
      <c r="AM266" s="72" t="str">
        <f ca="1">[1]!thsiFinD("ths_the_sw_industry_stock",AJ266,100,$A$1)</f>
        <v>非银金融</v>
      </c>
      <c r="AO266" s="92">
        <v>46104</v>
      </c>
      <c r="AP266" s="84" t="s">
        <v>1513</v>
      </c>
      <c r="AQ266" s="84" t="s">
        <v>1514</v>
      </c>
      <c r="AR266" s="93">
        <v>0.17</v>
      </c>
      <c r="AS266" s="72" t="str">
        <f ca="1">[1]!thsiFinD("ths_the_sw_industry_stock",AP266,100,$A$1)</f>
        <v>电力设备</v>
      </c>
    </row>
    <row r="267" spans="35:45">
      <c r="AI267" s="92">
        <v>46104</v>
      </c>
      <c r="AJ267" s="84" t="s">
        <v>1077</v>
      </c>
      <c r="AK267" s="84" t="s">
        <v>1078</v>
      </c>
      <c r="AL267" s="93">
        <v>0.123</v>
      </c>
      <c r="AM267" s="72" t="str">
        <f ca="1">[1]!thsiFinD("ths_the_sw_industry_stock",AJ267,100,$A$1)</f>
        <v>非银金融</v>
      </c>
      <c r="AO267" s="92">
        <v>46104</v>
      </c>
      <c r="AP267" s="84" t="s">
        <v>1515</v>
      </c>
      <c r="AQ267" s="84" t="s">
        <v>1516</v>
      </c>
      <c r="AR267" s="93">
        <v>0.16300000000000001</v>
      </c>
      <c r="AS267" s="72" t="str">
        <f ca="1">[1]!thsiFinD("ths_the_sw_industry_stock",AP267,100,$A$1)</f>
        <v>国防军工</v>
      </c>
    </row>
    <row r="268" spans="35:45">
      <c r="AI268" s="92">
        <v>46104</v>
      </c>
      <c r="AJ268" s="84" t="s">
        <v>1079</v>
      </c>
      <c r="AK268" s="84" t="s">
        <v>1080</v>
      </c>
      <c r="AL268" s="93">
        <v>0.30599999999999999</v>
      </c>
      <c r="AM268" s="72" t="str">
        <f ca="1">[1]!thsiFinD("ths_the_sw_industry_stock",AJ268,100,$A$1)</f>
        <v>商贸零售</v>
      </c>
      <c r="AO268" s="92">
        <v>46104</v>
      </c>
      <c r="AP268" s="84" t="s">
        <v>1517</v>
      </c>
      <c r="AQ268" s="84" t="s">
        <v>1518</v>
      </c>
      <c r="AR268" s="93">
        <v>0.112</v>
      </c>
      <c r="AS268" s="72" t="str">
        <f ca="1">[1]!thsiFinD("ths_the_sw_industry_stock",AP268,100,$A$1)</f>
        <v>医药生物</v>
      </c>
    </row>
    <row r="269" spans="35:45">
      <c r="AI269" s="92">
        <v>46104</v>
      </c>
      <c r="AJ269" s="84" t="s">
        <v>1081</v>
      </c>
      <c r="AK269" s="84" t="s">
        <v>1082</v>
      </c>
      <c r="AL269" s="93">
        <v>0.108</v>
      </c>
      <c r="AM269" s="72" t="str">
        <f ca="1">[1]!thsiFinD("ths_the_sw_industry_stock",AJ269,100,$A$1)</f>
        <v>煤炭</v>
      </c>
      <c r="AO269" s="92">
        <v>46104</v>
      </c>
      <c r="AP269" s="84" t="s">
        <v>1519</v>
      </c>
      <c r="AQ269" s="84" t="s">
        <v>1520</v>
      </c>
      <c r="AR269" s="93">
        <v>0.16300000000000001</v>
      </c>
      <c r="AS269" s="72" t="str">
        <f ca="1">[1]!thsiFinD("ths_the_sw_industry_stock",AP269,100,$A$1)</f>
        <v>医药生物</v>
      </c>
    </row>
    <row r="270" spans="35:45">
      <c r="AI270" s="92">
        <v>46104</v>
      </c>
      <c r="AJ270" s="84" t="s">
        <v>1083</v>
      </c>
      <c r="AK270" s="84" t="s">
        <v>1084</v>
      </c>
      <c r="AL270" s="93">
        <v>2.5339999999999998</v>
      </c>
      <c r="AM270" s="72" t="str">
        <f ca="1">[1]!thsiFinD("ths_the_sw_industry_stock",AJ270,100,$A$1)</f>
        <v>有色金属</v>
      </c>
      <c r="AO270" s="92">
        <v>46104</v>
      </c>
      <c r="AP270" s="84" t="s">
        <v>1521</v>
      </c>
      <c r="AQ270" s="84" t="s">
        <v>1522</v>
      </c>
      <c r="AR270" s="93">
        <v>6.5000000000000002E-2</v>
      </c>
      <c r="AS270" s="72" t="str">
        <f ca="1">[1]!thsiFinD("ths_the_sw_industry_stock",AP270,100,$A$1)</f>
        <v>石油石化</v>
      </c>
    </row>
    <row r="271" spans="35:45">
      <c r="AI271" s="92">
        <v>46104</v>
      </c>
      <c r="AJ271" s="84" t="s">
        <v>1085</v>
      </c>
      <c r="AK271" s="84" t="s">
        <v>1086</v>
      </c>
      <c r="AL271" s="93">
        <v>0.123</v>
      </c>
      <c r="AM271" s="72" t="str">
        <f ca="1">[1]!thsiFinD("ths_the_sw_industry_stock",AJ271,100,$A$1)</f>
        <v>非银金融</v>
      </c>
      <c r="AO271" s="92">
        <v>46104</v>
      </c>
      <c r="AP271" s="84" t="s">
        <v>1523</v>
      </c>
      <c r="AQ271" s="84" t="s">
        <v>1524</v>
      </c>
      <c r="AR271" s="93">
        <v>0.16700000000000001</v>
      </c>
      <c r="AS271" s="72" t="str">
        <f ca="1">[1]!thsiFinD("ths_the_sw_industry_stock",AP271,100,$A$1)</f>
        <v>煤炭</v>
      </c>
    </row>
    <row r="272" spans="35:45">
      <c r="AI272" s="92">
        <v>46104</v>
      </c>
      <c r="AJ272" s="84" t="s">
        <v>1087</v>
      </c>
      <c r="AK272" s="84" t="s">
        <v>1088</v>
      </c>
      <c r="AL272" s="93">
        <v>0.17499999999999999</v>
      </c>
      <c r="AM272" s="72" t="str">
        <f ca="1">[1]!thsiFinD("ths_the_sw_industry_stock",AJ272,100,$A$1)</f>
        <v>银行</v>
      </c>
      <c r="AO272" s="92">
        <v>46104</v>
      </c>
      <c r="AP272" s="84" t="s">
        <v>1525</v>
      </c>
      <c r="AQ272" s="84" t="s">
        <v>1526</v>
      </c>
      <c r="AR272" s="93">
        <v>0.39100000000000001</v>
      </c>
      <c r="AS272" s="72" t="str">
        <f ca="1">[1]!thsiFinD("ths_the_sw_industry_stock",AP272,100,$A$1)</f>
        <v>基础化工</v>
      </c>
    </row>
    <row r="273" spans="35:45">
      <c r="AI273" s="92">
        <v>46104</v>
      </c>
      <c r="AJ273" s="84" t="s">
        <v>1089</v>
      </c>
      <c r="AK273" s="84" t="s">
        <v>1090</v>
      </c>
      <c r="AL273" s="93">
        <v>0.36799999999999999</v>
      </c>
      <c r="AM273" s="72" t="str">
        <f ca="1">[1]!thsiFinD("ths_the_sw_industry_stock",AJ273,100,$A$1)</f>
        <v>交通运输</v>
      </c>
      <c r="AO273" s="92">
        <v>46104</v>
      </c>
      <c r="AP273" s="84" t="s">
        <v>1527</v>
      </c>
      <c r="AQ273" s="84" t="s">
        <v>1528</v>
      </c>
      <c r="AR273" s="93">
        <v>0.21299999999999999</v>
      </c>
      <c r="AS273" s="72" t="str">
        <f ca="1">[1]!thsiFinD("ths_the_sw_industry_stock",AP273,100,$A$1)</f>
        <v>电子</v>
      </c>
    </row>
    <row r="274" spans="35:45">
      <c r="AI274" s="92">
        <v>46104</v>
      </c>
      <c r="AJ274" s="84" t="s">
        <v>1091</v>
      </c>
      <c r="AK274" s="84" t="s">
        <v>1092</v>
      </c>
      <c r="AL274" s="93">
        <v>0.28299999999999997</v>
      </c>
      <c r="AM274" s="72" t="str">
        <f ca="1">[1]!thsiFinD("ths_the_sw_industry_stock",AJ274,100,$A$1)</f>
        <v>银行</v>
      </c>
      <c r="AO274" s="92">
        <v>46104</v>
      </c>
      <c r="AP274" s="84" t="s">
        <v>1529</v>
      </c>
      <c r="AQ274" s="84" t="s">
        <v>1530</v>
      </c>
      <c r="AR274" s="93">
        <v>0.16700000000000001</v>
      </c>
      <c r="AS274" s="72" t="str">
        <f ca="1">[1]!thsiFinD("ths_the_sw_industry_stock",AP274,100,$A$1)</f>
        <v>非银金融</v>
      </c>
    </row>
    <row r="275" spans="35:45">
      <c r="AI275" s="92">
        <v>46104</v>
      </c>
      <c r="AJ275" s="84" t="s">
        <v>1093</v>
      </c>
      <c r="AK275" s="84" t="s">
        <v>1094</v>
      </c>
      <c r="AL275" s="93">
        <v>0.27300000000000002</v>
      </c>
      <c r="AM275" s="72" t="str">
        <f ca="1">[1]!thsiFinD("ths_the_sw_industry_stock",AJ275,100,$A$1)</f>
        <v>公用事业</v>
      </c>
      <c r="AO275" s="92">
        <v>46104</v>
      </c>
      <c r="AP275" s="84" t="s">
        <v>1531</v>
      </c>
      <c r="AQ275" s="84" t="s">
        <v>1532</v>
      </c>
      <c r="AR275" s="93">
        <v>0.17899999999999999</v>
      </c>
      <c r="AS275" s="72" t="str">
        <f ca="1">[1]!thsiFinD("ths_the_sw_industry_stock",AP275,100,$A$1)</f>
        <v>基础化工</v>
      </c>
    </row>
    <row r="276" spans="35:45">
      <c r="AI276" s="92">
        <v>46104</v>
      </c>
      <c r="AJ276" s="84" t="s">
        <v>1095</v>
      </c>
      <c r="AK276" s="84" t="s">
        <v>1096</v>
      </c>
      <c r="AL276" s="93">
        <v>0.29399999999999998</v>
      </c>
      <c r="AM276" s="72" t="str">
        <f ca="1">[1]!thsiFinD("ths_the_sw_industry_stock",AJ276,100,$A$1)</f>
        <v>银行</v>
      </c>
      <c r="AO276" s="92">
        <v>46104</v>
      </c>
      <c r="AP276" s="84" t="s">
        <v>1533</v>
      </c>
      <c r="AQ276" s="84" t="s">
        <v>1534</v>
      </c>
      <c r="AR276" s="93">
        <v>0.115</v>
      </c>
      <c r="AS276" s="72" t="str">
        <f ca="1">[1]!thsiFinD("ths_the_sw_industry_stock",AP276,100,$A$1)</f>
        <v>医药生物</v>
      </c>
    </row>
    <row r="277" spans="35:45">
      <c r="AI277" s="92">
        <v>46104</v>
      </c>
      <c r="AJ277" s="84" t="s">
        <v>1097</v>
      </c>
      <c r="AK277" s="84" t="s">
        <v>1098</v>
      </c>
      <c r="AL277" s="93">
        <v>0.158</v>
      </c>
      <c r="AM277" s="72" t="str">
        <f ca="1">[1]!thsiFinD("ths_the_sw_industry_stock",AJ277,100,$A$1)</f>
        <v>非银金融</v>
      </c>
      <c r="AO277" s="92">
        <v>46104</v>
      </c>
      <c r="AP277" s="84" t="s">
        <v>1535</v>
      </c>
      <c r="AQ277" s="84" t="s">
        <v>1536</v>
      </c>
      <c r="AR277" s="93">
        <v>0.11799999999999999</v>
      </c>
      <c r="AS277" s="72" t="str">
        <f ca="1">[1]!thsiFinD("ths_the_sw_industry_stock",AP277,100,$A$1)</f>
        <v>非银金融</v>
      </c>
    </row>
    <row r="278" spans="35:45">
      <c r="AI278" s="92">
        <v>46104</v>
      </c>
      <c r="AJ278" s="84" t="s">
        <v>1099</v>
      </c>
      <c r="AK278" s="84" t="s">
        <v>1100</v>
      </c>
      <c r="AL278" s="93">
        <v>0.14799999999999999</v>
      </c>
      <c r="AM278" s="72" t="str">
        <f ca="1">[1]!thsiFinD("ths_the_sw_industry_stock",AJ278,100,$A$1)</f>
        <v>银行</v>
      </c>
      <c r="AO278" s="92">
        <v>46104</v>
      </c>
      <c r="AP278" s="84" t="s">
        <v>1537</v>
      </c>
      <c r="AQ278" s="84" t="s">
        <v>1538</v>
      </c>
      <c r="AR278" s="93">
        <v>0.432</v>
      </c>
      <c r="AS278" s="72" t="str">
        <f ca="1">[1]!thsiFinD("ths_the_sw_industry_stock",AP278,100,$A$1)</f>
        <v>有色金属</v>
      </c>
    </row>
    <row r="279" spans="35:45">
      <c r="AI279" s="92">
        <v>46104</v>
      </c>
      <c r="AJ279" s="84" t="s">
        <v>1101</v>
      </c>
      <c r="AK279" s="84" t="s">
        <v>1102</v>
      </c>
      <c r="AL279" s="93">
        <v>0.52500000000000002</v>
      </c>
      <c r="AM279" s="72" t="str">
        <f ca="1">[1]!thsiFinD("ths_the_sw_industry_stock",AJ279,100,$A$1)</f>
        <v>计算机</v>
      </c>
      <c r="AO279" s="92">
        <v>46104</v>
      </c>
      <c r="AP279" s="84" t="s">
        <v>1539</v>
      </c>
      <c r="AQ279" s="84" t="s">
        <v>1540</v>
      </c>
      <c r="AR279" s="93">
        <v>0.14299999999999999</v>
      </c>
      <c r="AS279" s="72" t="str">
        <f ca="1">[1]!thsiFinD("ths_the_sw_industry_stock",AP279,100,$A$1)</f>
        <v>纺织服饰</v>
      </c>
    </row>
    <row r="280" spans="35:45">
      <c r="AI280" s="92">
        <v>46104</v>
      </c>
      <c r="AJ280" s="84" t="s">
        <v>1103</v>
      </c>
      <c r="AK280" s="84" t="s">
        <v>1104</v>
      </c>
      <c r="AL280" s="93">
        <v>4.5999999999999999E-2</v>
      </c>
      <c r="AM280" s="72" t="str">
        <f ca="1">[1]!thsiFinD("ths_the_sw_industry_stock",AJ280,100,$A$1)</f>
        <v>轻工制造</v>
      </c>
      <c r="AO280" s="92">
        <v>46104</v>
      </c>
      <c r="AP280" s="84" t="s">
        <v>1541</v>
      </c>
      <c r="AQ280" s="84" t="s">
        <v>1542</v>
      </c>
      <c r="AR280" s="93">
        <v>0.16600000000000001</v>
      </c>
      <c r="AS280" s="72" t="str">
        <f ca="1">[1]!thsiFinD("ths_the_sw_industry_stock",AP280,100,$A$1)</f>
        <v>国防军工</v>
      </c>
    </row>
    <row r="281" spans="35:45">
      <c r="AI281" s="92">
        <v>46104</v>
      </c>
      <c r="AJ281" s="84" t="s">
        <v>1105</v>
      </c>
      <c r="AK281" s="84" t="s">
        <v>1106</v>
      </c>
      <c r="AL281" s="93">
        <v>0.94299999999999995</v>
      </c>
      <c r="AM281" s="72" t="str">
        <f ca="1">[1]!thsiFinD("ths_the_sw_industry_stock",AJ281,100,$A$1)</f>
        <v>医药生物</v>
      </c>
      <c r="AO281" s="92">
        <v>46104</v>
      </c>
      <c r="AP281" s="84" t="s">
        <v>1543</v>
      </c>
      <c r="AQ281" s="84" t="s">
        <v>1544</v>
      </c>
      <c r="AR281" s="93">
        <v>0.106</v>
      </c>
      <c r="AS281" s="72" t="str">
        <f ca="1">[1]!thsiFinD("ths_the_sw_industry_stock",AP281,100,$A$1)</f>
        <v>公用事业</v>
      </c>
    </row>
    <row r="282" spans="35:45">
      <c r="AI282" s="92">
        <v>46104</v>
      </c>
      <c r="AJ282" s="84" t="s">
        <v>1107</v>
      </c>
      <c r="AK282" s="84" t="s">
        <v>1108</v>
      </c>
      <c r="AL282" s="93">
        <v>7.0999999999999994E-2</v>
      </c>
      <c r="AM282" s="72" t="str">
        <f ca="1">[1]!thsiFinD("ths_the_sw_industry_stock",AJ282,100,$A$1)</f>
        <v>基础化工</v>
      </c>
      <c r="AO282" s="92">
        <v>46104</v>
      </c>
      <c r="AP282" s="84" t="s">
        <v>1545</v>
      </c>
      <c r="AQ282" s="84" t="s">
        <v>1546</v>
      </c>
      <c r="AR282" s="93">
        <v>0.18</v>
      </c>
      <c r="AS282" s="72" t="str">
        <f ca="1">[1]!thsiFinD("ths_the_sw_industry_stock",AP282,100,$A$1)</f>
        <v>基础化工</v>
      </c>
    </row>
    <row r="283" spans="35:45">
      <c r="AI283" s="92">
        <v>46104</v>
      </c>
      <c r="AJ283" s="84" t="s">
        <v>1109</v>
      </c>
      <c r="AK283" s="84" t="s">
        <v>1110</v>
      </c>
      <c r="AL283" s="93">
        <v>0.23300000000000001</v>
      </c>
      <c r="AM283" s="72" t="str">
        <f ca="1">[1]!thsiFinD("ths_the_sw_industry_stock",AJ283,100,$A$1)</f>
        <v>食品饮料</v>
      </c>
      <c r="AO283" s="92">
        <v>46104</v>
      </c>
      <c r="AP283" s="84" t="s">
        <v>1547</v>
      </c>
      <c r="AQ283" s="84" t="s">
        <v>1548</v>
      </c>
      <c r="AR283" s="93">
        <v>0.86</v>
      </c>
      <c r="AS283" s="72" t="str">
        <f ca="1">[1]!thsiFinD("ths_the_sw_industry_stock",AP283,100,$A$1)</f>
        <v>通信</v>
      </c>
    </row>
    <row r="284" spans="35:45">
      <c r="AI284" s="92">
        <v>46104</v>
      </c>
      <c r="AJ284" s="84" t="s">
        <v>1111</v>
      </c>
      <c r="AK284" s="84" t="s">
        <v>1112</v>
      </c>
      <c r="AL284" s="93">
        <v>0.14599999999999999</v>
      </c>
      <c r="AM284" s="72" t="str">
        <f ca="1">[1]!thsiFinD("ths_the_sw_industry_stock",AJ284,100,$A$1)</f>
        <v>电子</v>
      </c>
      <c r="AO284" s="92">
        <v>46104</v>
      </c>
      <c r="AP284" s="84" t="s">
        <v>1549</v>
      </c>
      <c r="AQ284" s="84" t="s">
        <v>1550</v>
      </c>
      <c r="AR284" s="93">
        <v>0.30599999999999999</v>
      </c>
      <c r="AS284" s="72" t="str">
        <f ca="1">[1]!thsiFinD("ths_the_sw_industry_stock",AP284,100,$A$1)</f>
        <v>有色金属</v>
      </c>
    </row>
    <row r="285" spans="35:45">
      <c r="AI285" s="92">
        <v>46104</v>
      </c>
      <c r="AJ285" s="84" t="s">
        <v>1113</v>
      </c>
      <c r="AK285" s="84" t="s">
        <v>1114</v>
      </c>
      <c r="AL285" s="93">
        <v>9.0999999999999998E-2</v>
      </c>
      <c r="AM285" s="72" t="str">
        <f ca="1">[1]!thsiFinD("ths_the_sw_industry_stock",AJ285,100,$A$1)</f>
        <v>食品饮料</v>
      </c>
      <c r="AO285" s="92">
        <v>46104</v>
      </c>
      <c r="AP285" s="84" t="s">
        <v>1551</v>
      </c>
      <c r="AQ285" s="84" t="s">
        <v>1552</v>
      </c>
      <c r="AR285" s="93">
        <v>0.38600000000000001</v>
      </c>
      <c r="AS285" s="72" t="str">
        <f ca="1">[1]!thsiFinD("ths_the_sw_industry_stock",AP285,100,$A$1)</f>
        <v>通信</v>
      </c>
    </row>
    <row r="286" spans="35:45">
      <c r="AI286" s="92">
        <v>46104</v>
      </c>
      <c r="AJ286" s="84" t="s">
        <v>1115</v>
      </c>
      <c r="AK286" s="84" t="s">
        <v>1116</v>
      </c>
      <c r="AL286" s="93">
        <v>6.0999999999999999E-2</v>
      </c>
      <c r="AM286" s="72" t="str">
        <f ca="1">[1]!thsiFinD("ths_the_sw_industry_stock",AJ286,100,$A$1)</f>
        <v>医药生物</v>
      </c>
      <c r="AO286" s="92">
        <v>46104</v>
      </c>
      <c r="AP286" s="84" t="s">
        <v>1553</v>
      </c>
      <c r="AQ286" s="84" t="s">
        <v>1554</v>
      </c>
      <c r="AR286" s="93">
        <v>0.19</v>
      </c>
      <c r="AS286" s="72" t="str">
        <f ca="1">[1]!thsiFinD("ths_the_sw_industry_stock",AP286,100,$A$1)</f>
        <v>机械设备</v>
      </c>
    </row>
    <row r="287" spans="35:45">
      <c r="AI287" s="92">
        <v>46104</v>
      </c>
      <c r="AJ287" s="84" t="s">
        <v>1117</v>
      </c>
      <c r="AK287" s="84" t="s">
        <v>1118</v>
      </c>
      <c r="AL287" s="93">
        <v>0.40500000000000003</v>
      </c>
      <c r="AM287" s="72" t="str">
        <f ca="1">[1]!thsiFinD("ths_the_sw_industry_stock",AJ287,100,$A$1)</f>
        <v>电子</v>
      </c>
      <c r="AO287" s="92">
        <v>46104</v>
      </c>
      <c r="AP287" s="84" t="s">
        <v>1555</v>
      </c>
      <c r="AQ287" s="84" t="s">
        <v>1556</v>
      </c>
      <c r="AR287" s="93">
        <v>0.10100000000000001</v>
      </c>
      <c r="AS287" s="72" t="str">
        <f ca="1">[1]!thsiFinD("ths_the_sw_industry_stock",AP287,100,$A$1)</f>
        <v>医药生物</v>
      </c>
    </row>
    <row r="288" spans="35:45">
      <c r="AI288" s="92">
        <v>46104</v>
      </c>
      <c r="AJ288" s="84" t="s">
        <v>1119</v>
      </c>
      <c r="AK288" s="84" t="s">
        <v>1120</v>
      </c>
      <c r="AL288" s="93">
        <v>0.46400000000000002</v>
      </c>
      <c r="AM288" s="72" t="str">
        <f ca="1">[1]!thsiFinD("ths_the_sw_industry_stock",AJ288,100,$A$1)</f>
        <v>有色金属</v>
      </c>
      <c r="AO288" s="92">
        <v>46104</v>
      </c>
      <c r="AP288" s="84" t="s">
        <v>1557</v>
      </c>
      <c r="AQ288" s="84" t="s">
        <v>1558</v>
      </c>
      <c r="AR288" s="93">
        <v>0.16300000000000001</v>
      </c>
      <c r="AS288" s="72" t="str">
        <f ca="1">[1]!thsiFinD("ths_the_sw_industry_stock",AP288,100,$A$1)</f>
        <v>钢铁</v>
      </c>
    </row>
    <row r="289" spans="35:45">
      <c r="AI289" s="92">
        <v>46104</v>
      </c>
      <c r="AJ289" s="84" t="s">
        <v>1121</v>
      </c>
      <c r="AK289" s="84" t="s">
        <v>1122</v>
      </c>
      <c r="AL289" s="93">
        <v>0.14699999999999999</v>
      </c>
      <c r="AM289" s="72" t="str">
        <f ca="1">[1]!thsiFinD("ths_the_sw_industry_stock",AJ289,100,$A$1)</f>
        <v>电子</v>
      </c>
      <c r="AO289" s="92">
        <v>46104</v>
      </c>
      <c r="AP289" s="84" t="s">
        <v>1559</v>
      </c>
      <c r="AQ289" s="84" t="s">
        <v>1560</v>
      </c>
      <c r="AR289" s="93">
        <v>0.11700000000000001</v>
      </c>
      <c r="AS289" s="72" t="str">
        <f ca="1">[1]!thsiFinD("ths_the_sw_industry_stock",AP289,100,$A$1)</f>
        <v>非银金融</v>
      </c>
    </row>
    <row r="290" spans="35:45">
      <c r="AI290" s="92">
        <v>46104</v>
      </c>
      <c r="AJ290" s="84" t="s">
        <v>1123</v>
      </c>
      <c r="AK290" s="84" t="s">
        <v>1124</v>
      </c>
      <c r="AL290" s="93">
        <v>0.77900000000000003</v>
      </c>
      <c r="AM290" s="72" t="str">
        <f ca="1">[1]!thsiFinD("ths_the_sw_industry_stock",AJ290,100,$A$1)</f>
        <v>电子</v>
      </c>
      <c r="AO290" s="92">
        <v>46104</v>
      </c>
      <c r="AP290" s="84" t="s">
        <v>1561</v>
      </c>
      <c r="AQ290" s="84" t="s">
        <v>1562</v>
      </c>
      <c r="AR290" s="93">
        <v>0.154</v>
      </c>
      <c r="AS290" s="72" t="str">
        <f ca="1">[1]!thsiFinD("ths_the_sw_industry_stock",AP290,100,$A$1)</f>
        <v>医药生物</v>
      </c>
    </row>
    <row r="291" spans="35:45">
      <c r="AI291" s="92">
        <v>46104</v>
      </c>
      <c r="AJ291" s="84" t="s">
        <v>1125</v>
      </c>
      <c r="AK291" s="84" t="s">
        <v>1126</v>
      </c>
      <c r="AL291" s="93">
        <v>0.81499999999999995</v>
      </c>
      <c r="AM291" s="72" t="str">
        <f ca="1">[1]!thsiFinD("ths_the_sw_industry_stock",AJ291,100,$A$1)</f>
        <v>有色金属</v>
      </c>
      <c r="AO291" s="92">
        <v>46104</v>
      </c>
      <c r="AP291" s="84" t="s">
        <v>1563</v>
      </c>
      <c r="AQ291" s="84" t="s">
        <v>1564</v>
      </c>
      <c r="AR291" s="93">
        <v>8.5999999999999993E-2</v>
      </c>
      <c r="AS291" s="72" t="str">
        <f ca="1">[1]!thsiFinD("ths_the_sw_industry_stock",AP291,100,$A$1)</f>
        <v>机械设备</v>
      </c>
    </row>
    <row r="292" spans="35:45">
      <c r="AI292" s="92">
        <v>46104</v>
      </c>
      <c r="AJ292" s="84" t="s">
        <v>1127</v>
      </c>
      <c r="AK292" s="84" t="s">
        <v>1128</v>
      </c>
      <c r="AL292" s="93">
        <v>0.14799999999999999</v>
      </c>
      <c r="AM292" s="72" t="str">
        <f ca="1">[1]!thsiFinD("ths_the_sw_industry_stock",AJ292,100,$A$1)</f>
        <v>电力设备</v>
      </c>
      <c r="AO292" s="92">
        <v>46104</v>
      </c>
      <c r="AP292" s="84" t="s">
        <v>1565</v>
      </c>
      <c r="AQ292" s="84" t="s">
        <v>1566</v>
      </c>
      <c r="AR292" s="93">
        <v>9.9000000000000005E-2</v>
      </c>
      <c r="AS292" s="72" t="str">
        <f ca="1">[1]!thsiFinD("ths_the_sw_industry_stock",AP292,100,$A$1)</f>
        <v>医药生物</v>
      </c>
    </row>
    <row r="293" spans="35:45">
      <c r="AI293" s="92">
        <v>46104</v>
      </c>
      <c r="AJ293" s="84" t="s">
        <v>1129</v>
      </c>
      <c r="AK293" s="84" t="s">
        <v>1130</v>
      </c>
      <c r="AL293" s="93">
        <v>0.19500000000000001</v>
      </c>
      <c r="AM293" s="72" t="str">
        <f ca="1">[1]!thsiFinD("ths_the_sw_industry_stock",AJ293,100,$A$1)</f>
        <v>食品饮料</v>
      </c>
      <c r="AO293" s="92">
        <v>46104</v>
      </c>
      <c r="AP293" s="84" t="s">
        <v>1567</v>
      </c>
      <c r="AQ293" s="84" t="s">
        <v>1568</v>
      </c>
      <c r="AR293" s="93">
        <v>0.22900000000000001</v>
      </c>
      <c r="AS293" s="72" t="str">
        <f ca="1">[1]!thsiFinD("ths_the_sw_industry_stock",AP293,100,$A$1)</f>
        <v>计算机</v>
      </c>
    </row>
    <row r="294" spans="35:45">
      <c r="AI294" s="92">
        <v>46104</v>
      </c>
      <c r="AJ294" s="84" t="s">
        <v>1131</v>
      </c>
      <c r="AK294" s="84" t="s">
        <v>1132</v>
      </c>
      <c r="AL294" s="93">
        <v>0.72899999999999998</v>
      </c>
      <c r="AM294" s="72" t="str">
        <f ca="1">[1]!thsiFinD("ths_the_sw_industry_stock",AJ294,100,$A$1)</f>
        <v>电子</v>
      </c>
      <c r="AO294" s="92">
        <v>46104</v>
      </c>
      <c r="AP294" s="84" t="s">
        <v>1569</v>
      </c>
      <c r="AQ294" s="84" t="s">
        <v>1570</v>
      </c>
      <c r="AR294" s="93">
        <v>0.107</v>
      </c>
      <c r="AS294" s="72" t="str">
        <f ca="1">[1]!thsiFinD("ths_the_sw_industry_stock",AP294,100,$A$1)</f>
        <v>煤炭</v>
      </c>
    </row>
    <row r="295" spans="35:45">
      <c r="AI295" s="92">
        <v>46104</v>
      </c>
      <c r="AJ295" s="84" t="s">
        <v>553</v>
      </c>
      <c r="AK295" s="84" t="s">
        <v>554</v>
      </c>
      <c r="AL295" s="93">
        <v>5.8000000000000003E-2</v>
      </c>
      <c r="AM295" s="72" t="str">
        <f ca="1">[1]!thsiFinD("ths_the_sw_industry_stock",AJ295,100,$A$1)</f>
        <v>机械设备</v>
      </c>
      <c r="AO295" s="92">
        <v>46104</v>
      </c>
      <c r="AP295" s="84" t="s">
        <v>1571</v>
      </c>
      <c r="AQ295" s="84" t="s">
        <v>1572</v>
      </c>
      <c r="AR295" s="93">
        <v>0.71499999999999997</v>
      </c>
      <c r="AS295" s="72" t="str">
        <f ca="1">[1]!thsiFinD("ths_the_sw_industry_stock",AP295,100,$A$1)</f>
        <v>有色金属</v>
      </c>
    </row>
    <row r="296" spans="35:45">
      <c r="AI296" s="92">
        <v>46104</v>
      </c>
      <c r="AJ296" s="84" t="s">
        <v>555</v>
      </c>
      <c r="AK296" s="84" t="s">
        <v>556</v>
      </c>
      <c r="AL296" s="93">
        <v>0.60099999999999998</v>
      </c>
      <c r="AM296" s="72" t="str">
        <f ca="1">[1]!thsiFinD("ths_the_sw_industry_stock",AJ296,100,$A$1)</f>
        <v>电子</v>
      </c>
      <c r="AO296" s="92">
        <v>46104</v>
      </c>
      <c r="AP296" s="84" t="s">
        <v>1573</v>
      </c>
      <c r="AQ296" s="84" t="s">
        <v>1574</v>
      </c>
      <c r="AR296" s="93">
        <v>0.13300000000000001</v>
      </c>
      <c r="AS296" s="72" t="str">
        <f ca="1">[1]!thsiFinD("ths_the_sw_industry_stock",AP296,100,$A$1)</f>
        <v>国防军工</v>
      </c>
    </row>
    <row r="297" spans="35:45">
      <c r="AI297" s="92">
        <v>46104</v>
      </c>
      <c r="AJ297" s="84" t="s">
        <v>559</v>
      </c>
      <c r="AK297" s="84" t="s">
        <v>1133</v>
      </c>
      <c r="AL297" s="93">
        <v>0.129</v>
      </c>
      <c r="AM297" s="72" t="str">
        <f ca="1">[1]!thsiFinD("ths_the_sw_industry_stock",AJ297,100,$A$1)</f>
        <v>电子</v>
      </c>
      <c r="AO297" s="92">
        <v>46104</v>
      </c>
      <c r="AP297" s="84" t="s">
        <v>1575</v>
      </c>
      <c r="AQ297" s="84" t="s">
        <v>1576</v>
      </c>
      <c r="AR297" s="93">
        <v>0.14399999999999999</v>
      </c>
      <c r="AS297" s="72" t="str">
        <f ca="1">[1]!thsiFinD("ths_the_sw_industry_stock",AP297,100,$A$1)</f>
        <v>电子</v>
      </c>
    </row>
    <row r="298" spans="35:45">
      <c r="AI298" s="92">
        <v>46104</v>
      </c>
      <c r="AJ298" s="84" t="s">
        <v>1134</v>
      </c>
      <c r="AK298" s="84" t="s">
        <v>562</v>
      </c>
      <c r="AL298" s="93">
        <v>0.94399999999999995</v>
      </c>
      <c r="AM298" s="72" t="str">
        <f ca="1">[1]!thsiFinD("ths_the_sw_industry_stock",AJ298,100,$A$1)</f>
        <v>电子</v>
      </c>
      <c r="AO298" s="92">
        <v>46104</v>
      </c>
      <c r="AP298" s="84" t="s">
        <v>1577</v>
      </c>
      <c r="AQ298" s="84" t="s">
        <v>1578</v>
      </c>
      <c r="AR298" s="93">
        <v>9.4E-2</v>
      </c>
      <c r="AS298" s="72" t="str">
        <f ca="1">[1]!thsiFinD("ths_the_sw_industry_stock",AP298,100,$A$1)</f>
        <v>医药生物</v>
      </c>
    </row>
    <row r="299" spans="35:45">
      <c r="AI299" s="92">
        <v>46104</v>
      </c>
      <c r="AJ299" s="84" t="s">
        <v>563</v>
      </c>
      <c r="AK299" s="84" t="s">
        <v>564</v>
      </c>
      <c r="AL299" s="93">
        <v>0.124</v>
      </c>
      <c r="AM299" s="72" t="str">
        <f ca="1">[1]!thsiFinD("ths_the_sw_industry_stock",AJ299,100,$A$1)</f>
        <v>电子</v>
      </c>
      <c r="AO299" s="92">
        <v>46104</v>
      </c>
      <c r="AP299" s="84" t="s">
        <v>1579</v>
      </c>
      <c r="AQ299" s="84" t="s">
        <v>1580</v>
      </c>
      <c r="AR299" s="93">
        <v>0.10199999999999999</v>
      </c>
      <c r="AS299" s="72" t="str">
        <f ca="1">[1]!thsiFinD("ths_the_sw_industry_stock",AP299,100,$A$1)</f>
        <v>公用事业</v>
      </c>
    </row>
    <row r="300" spans="35:45">
      <c r="AI300" s="92">
        <v>46104</v>
      </c>
      <c r="AJ300" s="84" t="s">
        <v>1135</v>
      </c>
      <c r="AK300" s="84" t="s">
        <v>569</v>
      </c>
      <c r="AL300" s="93">
        <v>6.4000000000000001E-2</v>
      </c>
      <c r="AM300" s="72" t="str">
        <f ca="1">[1]!thsiFinD("ths_the_sw_industry_stock",AJ300,100,$A$1)</f>
        <v>电子</v>
      </c>
      <c r="AO300" s="92">
        <v>46104</v>
      </c>
      <c r="AP300" s="84" t="s">
        <v>1581</v>
      </c>
      <c r="AQ300" s="84" t="s">
        <v>1582</v>
      </c>
      <c r="AR300" s="93">
        <v>0.45</v>
      </c>
      <c r="AS300" s="72" t="str">
        <f ca="1">[1]!thsiFinD("ths_the_sw_industry_stock",AP300,100,$A$1)</f>
        <v>电力设备</v>
      </c>
    </row>
    <row r="301" spans="35:45">
      <c r="AI301" s="92">
        <v>46104</v>
      </c>
      <c r="AJ301" s="84" t="s">
        <v>572</v>
      </c>
      <c r="AK301" s="84" t="s">
        <v>573</v>
      </c>
      <c r="AL301" s="93">
        <v>0.27100000000000002</v>
      </c>
      <c r="AM301" s="72" t="str">
        <f ca="1">[1]!thsiFinD("ths_the_sw_industry_stock",AJ301,100,$A$1)</f>
        <v>计算机</v>
      </c>
      <c r="AO301" s="92">
        <v>46104</v>
      </c>
      <c r="AP301" s="84" t="s">
        <v>1583</v>
      </c>
      <c r="AQ301" s="84" t="s">
        <v>1584</v>
      </c>
      <c r="AR301" s="93">
        <v>9.2999999999999999E-2</v>
      </c>
      <c r="AS301" s="72" t="str">
        <f ca="1">[1]!thsiFinD("ths_the_sw_industry_stock",AP301,100,$A$1)</f>
        <v>机械设备</v>
      </c>
    </row>
    <row r="302" spans="35:45">
      <c r="AI302" s="92">
        <v>46104</v>
      </c>
      <c r="AJ302" s="84" t="s">
        <v>580</v>
      </c>
      <c r="AK302" s="84" t="s">
        <v>581</v>
      </c>
      <c r="AL302" s="93">
        <v>0.16200000000000001</v>
      </c>
      <c r="AM302" s="72" t="str">
        <f ca="1">[1]!thsiFinD("ths_the_sw_industry_stock",AJ302,100,$A$1)</f>
        <v>电子</v>
      </c>
      <c r="AO302" s="92">
        <v>46104</v>
      </c>
      <c r="AP302" s="84" t="s">
        <v>1585</v>
      </c>
      <c r="AQ302" s="84" t="s">
        <v>1586</v>
      </c>
      <c r="AR302" s="93">
        <v>0.14599999999999999</v>
      </c>
      <c r="AS302" s="72" t="str">
        <f ca="1">[1]!thsiFinD("ths_the_sw_industry_stock",AP302,100,$A$1)</f>
        <v>石油石化</v>
      </c>
    </row>
    <row r="303" spans="35:45">
      <c r="AI303" s="92">
        <v>46104</v>
      </c>
      <c r="AJ303" s="84" t="s">
        <v>582</v>
      </c>
      <c r="AK303" s="84" t="s">
        <v>583</v>
      </c>
      <c r="AL303" s="93">
        <v>0.115</v>
      </c>
      <c r="AM303" s="72" t="str">
        <f ca="1">[1]!thsiFinD("ths_the_sw_industry_stock",AJ303,100,$A$1)</f>
        <v>家用电器</v>
      </c>
      <c r="AO303" s="92">
        <v>46104</v>
      </c>
      <c r="AP303" s="84" t="s">
        <v>1587</v>
      </c>
      <c r="AQ303" s="84" t="s">
        <v>1588</v>
      </c>
      <c r="AR303" s="93">
        <v>0.105</v>
      </c>
      <c r="AS303" s="72" t="str">
        <f ca="1">[1]!thsiFinD("ths_the_sw_industry_stock",AP303,100,$A$1)</f>
        <v>农林牧渔</v>
      </c>
    </row>
    <row r="304" spans="35:45">
      <c r="AI304" s="92">
        <v>46104</v>
      </c>
      <c r="AJ304" s="84" t="s">
        <v>584</v>
      </c>
      <c r="AK304" s="84" t="s">
        <v>585</v>
      </c>
      <c r="AL304" s="93">
        <v>0.06</v>
      </c>
      <c r="AM304" s="72" t="str">
        <f ca="1">[1]!thsiFinD("ths_the_sw_industry_stock",AJ304,100,$A$1)</f>
        <v>机械设备</v>
      </c>
      <c r="AO304" s="92">
        <v>46104</v>
      </c>
      <c r="AP304" s="84" t="s">
        <v>1589</v>
      </c>
      <c r="AQ304" s="84" t="s">
        <v>1590</v>
      </c>
      <c r="AR304" s="93">
        <v>0.311</v>
      </c>
      <c r="AS304" s="72" t="str">
        <f ca="1">[1]!thsiFinD("ths_the_sw_industry_stock",AP304,100,$A$1)</f>
        <v>电子</v>
      </c>
    </row>
    <row r="305" spans="35:45">
      <c r="AI305" s="92">
        <v>46104</v>
      </c>
      <c r="AJ305" s="84" t="s">
        <v>592</v>
      </c>
      <c r="AK305" s="84" t="s">
        <v>1136</v>
      </c>
      <c r="AL305" s="93">
        <v>0.11700000000000001</v>
      </c>
      <c r="AM305" s="72" t="str">
        <f ca="1">[1]!thsiFinD("ths_the_sw_industry_stock",AJ305,100,$A$1)</f>
        <v>电力设备</v>
      </c>
      <c r="AO305" s="92">
        <v>46104</v>
      </c>
      <c r="AP305" s="84" t="s">
        <v>1591</v>
      </c>
      <c r="AQ305" s="84" t="s">
        <v>1592</v>
      </c>
      <c r="AR305" s="93">
        <v>0.13100000000000001</v>
      </c>
      <c r="AS305" s="72" t="str">
        <f ca="1">[1]!thsiFinD("ths_the_sw_industry_stock",AP305,100,$A$1)</f>
        <v>计算机</v>
      </c>
    </row>
    <row r="306" spans="35:45">
      <c r="AI306" s="92">
        <v>46104</v>
      </c>
      <c r="AJ306" s="84" t="s">
        <v>597</v>
      </c>
      <c r="AK306" s="84" t="s">
        <v>598</v>
      </c>
      <c r="AL306" s="93">
        <v>0.96599999999999997</v>
      </c>
      <c r="AM306" s="72" t="str">
        <f ca="1">[1]!thsiFinD("ths_the_sw_industry_stock",AJ306,100,$A$1)</f>
        <v>电子</v>
      </c>
      <c r="AO306" s="92">
        <v>46104</v>
      </c>
      <c r="AP306" s="84" t="s">
        <v>1593</v>
      </c>
      <c r="AQ306" s="84" t="s">
        <v>1594</v>
      </c>
      <c r="AR306" s="93">
        <v>6.6000000000000003E-2</v>
      </c>
      <c r="AS306" s="72" t="str">
        <f ca="1">[1]!thsiFinD("ths_the_sw_industry_stock",AP306,100,$A$1)</f>
        <v>房地产</v>
      </c>
    </row>
    <row r="307" spans="35:45">
      <c r="AI307" s="92">
        <v>46104</v>
      </c>
      <c r="AJ307" s="84" t="s">
        <v>1137</v>
      </c>
      <c r="AK307" s="84" t="s">
        <v>1138</v>
      </c>
      <c r="AL307" s="93">
        <v>0.251</v>
      </c>
      <c r="AM307" s="72" t="str">
        <f ca="1">[1]!thsiFinD("ths_the_sw_industry_stock",AJ307,100,$A$1)</f>
        <v>医药生物</v>
      </c>
      <c r="AO307" s="92">
        <v>46104</v>
      </c>
      <c r="AP307" s="84" t="s">
        <v>1595</v>
      </c>
      <c r="AQ307" s="84" t="s">
        <v>1596</v>
      </c>
      <c r="AR307" s="93">
        <v>0.21299999999999999</v>
      </c>
      <c r="AS307" s="72" t="str">
        <f ca="1">[1]!thsiFinD("ths_the_sw_industry_stock",AP307,100,$A$1)</f>
        <v>传媒</v>
      </c>
    </row>
    <row r="308" spans="35:45">
      <c r="AI308" s="92">
        <v>46104</v>
      </c>
      <c r="AJ308" s="84" t="s">
        <v>1139</v>
      </c>
      <c r="AK308" s="84" t="s">
        <v>604</v>
      </c>
      <c r="AL308" s="93">
        <v>0.06</v>
      </c>
      <c r="AM308" s="72" t="str">
        <f ca="1">[1]!thsiFinD("ths_the_sw_industry_stock",AJ308,100,$A$1)</f>
        <v>电力设备</v>
      </c>
      <c r="AO308" s="92">
        <v>46104</v>
      </c>
      <c r="AP308" s="84" t="s">
        <v>1597</v>
      </c>
      <c r="AQ308" s="84" t="s">
        <v>1598</v>
      </c>
      <c r="AR308" s="93">
        <v>0.154</v>
      </c>
      <c r="AS308" s="72" t="str">
        <f ca="1">[1]!thsiFinD("ths_the_sw_industry_stock",AP308,100,$A$1)</f>
        <v>公用事业</v>
      </c>
    </row>
    <row r="309" spans="35:45">
      <c r="AI309" s="92">
        <v>46104</v>
      </c>
      <c r="AJ309" s="84" t="s">
        <v>1140</v>
      </c>
      <c r="AK309" s="84" t="s">
        <v>610</v>
      </c>
      <c r="AL309" s="93">
        <v>0.11799999999999999</v>
      </c>
      <c r="AM309" s="72" t="str">
        <f ca="1">[1]!thsiFinD("ths_the_sw_industry_stock",AJ309,100,$A$1)</f>
        <v>电子</v>
      </c>
      <c r="AO309" s="92">
        <v>46104</v>
      </c>
      <c r="AP309" s="84" t="s">
        <v>1599</v>
      </c>
      <c r="AQ309" s="84" t="s">
        <v>1600</v>
      </c>
      <c r="AR309" s="93">
        <v>9.1999999999999998E-2</v>
      </c>
      <c r="AS309" s="72" t="str">
        <f ca="1">[1]!thsiFinD("ths_the_sw_industry_stock",AP309,100,$A$1)</f>
        <v>商贸零售</v>
      </c>
    </row>
    <row r="310" spans="35:45">
      <c r="AI310" s="92">
        <v>46104</v>
      </c>
      <c r="AJ310" s="84" t="s">
        <v>612</v>
      </c>
      <c r="AK310" s="84" t="s">
        <v>1141</v>
      </c>
      <c r="AL310" s="93">
        <v>8.3000000000000004E-2</v>
      </c>
      <c r="AM310" s="72" t="str">
        <f ca="1">[1]!thsiFinD("ths_the_sw_industry_stock",AJ310,100,$A$1)</f>
        <v>电力设备</v>
      </c>
      <c r="AO310" s="92">
        <v>46104</v>
      </c>
      <c r="AP310" s="84" t="s">
        <v>1601</v>
      </c>
      <c r="AQ310" s="84" t="s">
        <v>1602</v>
      </c>
      <c r="AR310" s="93">
        <v>9.0999999999999998E-2</v>
      </c>
      <c r="AS310" s="72" t="str">
        <f ca="1">[1]!thsiFinD("ths_the_sw_industry_stock",AP310,100,$A$1)</f>
        <v>房地产</v>
      </c>
    </row>
    <row r="311" spans="35:45">
      <c r="AI311" s="92">
        <v>46104</v>
      </c>
      <c r="AJ311" s="84" t="s">
        <v>613</v>
      </c>
      <c r="AK311" s="84" t="s">
        <v>614</v>
      </c>
      <c r="AL311" s="93">
        <v>8.5000000000000006E-2</v>
      </c>
      <c r="AM311" s="72" t="str">
        <f ca="1">[1]!thsiFinD("ths_the_sw_industry_stock",AJ311,100,$A$1)</f>
        <v>医药生物</v>
      </c>
      <c r="AO311" s="92">
        <v>46104</v>
      </c>
      <c r="AP311" s="84" t="s">
        <v>1603</v>
      </c>
      <c r="AQ311" s="84" t="s">
        <v>1604</v>
      </c>
      <c r="AR311" s="93">
        <v>0.52200000000000002</v>
      </c>
      <c r="AS311" s="72" t="str">
        <f ca="1">[1]!thsiFinD("ths_the_sw_industry_stock",AP311,100,$A$1)</f>
        <v>综合</v>
      </c>
    </row>
    <row r="312" spans="35:45">
      <c r="AI312" s="92">
        <v>46104</v>
      </c>
      <c r="AJ312" s="84" t="s">
        <v>636</v>
      </c>
      <c r="AK312" s="84" t="s">
        <v>637</v>
      </c>
      <c r="AL312" s="93">
        <v>0.89400000000000002</v>
      </c>
      <c r="AM312" s="72" t="str">
        <f ca="1">[1]!thsiFinD("ths_the_sw_industry_stock",AJ312,100,$A$1)</f>
        <v>电子</v>
      </c>
      <c r="AO312" s="92">
        <v>46104</v>
      </c>
      <c r="AP312" s="84" t="s">
        <v>1605</v>
      </c>
      <c r="AQ312" s="84" t="s">
        <v>1606</v>
      </c>
      <c r="AR312" s="93">
        <v>0.14099999999999999</v>
      </c>
      <c r="AS312" s="72" t="str">
        <f ca="1">[1]!thsiFinD("ths_the_sw_industry_stock",AP312,100,$A$1)</f>
        <v>国防军工</v>
      </c>
    </row>
    <row r="313" spans="35:45">
      <c r="AI313" s="92">
        <v>46013</v>
      </c>
      <c r="AJ313" s="84" t="s">
        <v>131</v>
      </c>
      <c r="AK313" s="84" t="s">
        <v>139</v>
      </c>
      <c r="AL313" s="93">
        <v>0.126</v>
      </c>
      <c r="AM313" s="72" t="str">
        <f ca="1">[1]!thsiFinD("ths_the_sw_industry_stock",AJ313,100,$A$1)</f>
        <v>医药生物</v>
      </c>
      <c r="AO313" s="92">
        <v>46104</v>
      </c>
      <c r="AP313" s="84" t="s">
        <v>1607</v>
      </c>
      <c r="AQ313" s="84" t="s">
        <v>1608</v>
      </c>
      <c r="AR313" s="93">
        <v>6.4000000000000001E-2</v>
      </c>
      <c r="AS313" s="72" t="str">
        <f ca="1">[1]!thsiFinD("ths_the_sw_industry_stock",AP313,100,$A$1)</f>
        <v>石油石化</v>
      </c>
    </row>
    <row r="314" spans="35:45">
      <c r="AI314" s="92">
        <v>46013</v>
      </c>
      <c r="AJ314" s="84" t="s">
        <v>140</v>
      </c>
      <c r="AK314" s="84" t="s">
        <v>134</v>
      </c>
      <c r="AL314" s="93">
        <v>0.93700000000000006</v>
      </c>
      <c r="AM314" s="72" t="str">
        <f ca="1">[1]!thsiFinD("ths_the_sw_industry_stock",AJ314,100,$A$1)</f>
        <v>电子</v>
      </c>
      <c r="AO314" s="92">
        <v>46104</v>
      </c>
      <c r="AP314" s="84" t="s">
        <v>1609</v>
      </c>
      <c r="AQ314" s="84" t="s">
        <v>1610</v>
      </c>
      <c r="AR314" s="93">
        <v>0.251</v>
      </c>
      <c r="AS314" s="72" t="str">
        <f ca="1">[1]!thsiFinD("ths_the_sw_industry_stock",AP314,100,$A$1)</f>
        <v>汽车</v>
      </c>
    </row>
    <row r="315" spans="35:45">
      <c r="AO315" s="92">
        <v>46104</v>
      </c>
      <c r="AP315" s="84" t="s">
        <v>1611</v>
      </c>
      <c r="AQ315" s="84" t="s">
        <v>1612</v>
      </c>
      <c r="AR315" s="93">
        <v>0.16700000000000001</v>
      </c>
      <c r="AS315" s="72" t="str">
        <f ca="1">[1]!thsiFinD("ths_the_sw_industry_stock",AP315,100,$A$1)</f>
        <v>交通运输</v>
      </c>
    </row>
    <row r="316" spans="35:45">
      <c r="AO316" s="92">
        <v>46104</v>
      </c>
      <c r="AP316" s="84" t="s">
        <v>1613</v>
      </c>
      <c r="AQ316" s="84" t="s">
        <v>1614</v>
      </c>
      <c r="AR316" s="93">
        <v>9.1999999999999998E-2</v>
      </c>
      <c r="AS316" s="72" t="str">
        <f ca="1">[1]!thsiFinD("ths_the_sw_industry_stock",AP316,100,$A$1)</f>
        <v>电子</v>
      </c>
    </row>
    <row r="317" spans="35:45">
      <c r="AO317" s="92">
        <v>46104</v>
      </c>
      <c r="AP317" s="84" t="s">
        <v>1615</v>
      </c>
      <c r="AQ317" s="84" t="s">
        <v>1616</v>
      </c>
      <c r="AR317" s="93">
        <v>6.2E-2</v>
      </c>
      <c r="AS317" s="72" t="str">
        <f ca="1">[1]!thsiFinD("ths_the_sw_industry_stock",AP317,100,$A$1)</f>
        <v>建筑装饰</v>
      </c>
    </row>
    <row r="318" spans="35:45">
      <c r="AO318" s="92">
        <v>46104</v>
      </c>
      <c r="AP318" s="84" t="s">
        <v>1617</v>
      </c>
      <c r="AQ318" s="84" t="s">
        <v>1618</v>
      </c>
      <c r="AR318" s="93">
        <v>0.154</v>
      </c>
      <c r="AS318" s="72" t="str">
        <f ca="1">[1]!thsiFinD("ths_the_sw_industry_stock",AP318,100,$A$1)</f>
        <v>农林牧渔</v>
      </c>
    </row>
    <row r="319" spans="35:45">
      <c r="AO319" s="92">
        <v>46104</v>
      </c>
      <c r="AP319" s="84" t="s">
        <v>1619</v>
      </c>
      <c r="AQ319" s="84" t="s">
        <v>1620</v>
      </c>
      <c r="AR319" s="93">
        <v>0.10199999999999999</v>
      </c>
      <c r="AS319" s="72" t="str">
        <f ca="1">[1]!thsiFinD("ths_the_sw_industry_stock",AP319,100,$A$1)</f>
        <v>医药生物</v>
      </c>
    </row>
    <row r="320" spans="35:45">
      <c r="AO320" s="92">
        <v>46104</v>
      </c>
      <c r="AP320" s="84" t="s">
        <v>1621</v>
      </c>
      <c r="AQ320" s="84" t="s">
        <v>1622</v>
      </c>
      <c r="AR320" s="93">
        <v>0.11799999999999999</v>
      </c>
      <c r="AS320" s="72" t="str">
        <f ca="1">[1]!thsiFinD("ths_the_sw_industry_stock",AP320,100,$A$1)</f>
        <v>社会服务</v>
      </c>
    </row>
    <row r="321" spans="41:45">
      <c r="AO321" s="92">
        <v>46104</v>
      </c>
      <c r="AP321" s="84" t="s">
        <v>1623</v>
      </c>
      <c r="AQ321" s="84" t="s">
        <v>1624</v>
      </c>
      <c r="AR321" s="93">
        <v>0.14499999999999999</v>
      </c>
      <c r="AS321" s="72" t="str">
        <f ca="1">[1]!thsiFinD("ths_the_sw_industry_stock",AP321,100,$A$1)</f>
        <v>医药生物</v>
      </c>
    </row>
    <row r="322" spans="41:45">
      <c r="AO322" s="92">
        <v>46104</v>
      </c>
      <c r="AP322" s="84" t="s">
        <v>1625</v>
      </c>
      <c r="AQ322" s="84" t="s">
        <v>1626</v>
      </c>
      <c r="AR322" s="93">
        <v>7.5999999999999998E-2</v>
      </c>
      <c r="AS322" s="72" t="str">
        <f ca="1">[1]!thsiFinD("ths_the_sw_industry_stock",AP322,100,$A$1)</f>
        <v>国防军工</v>
      </c>
    </row>
    <row r="323" spans="41:45">
      <c r="AO323" s="92">
        <v>46104</v>
      </c>
      <c r="AP323" s="84" t="s">
        <v>1627</v>
      </c>
      <c r="AQ323" s="84" t="s">
        <v>1628</v>
      </c>
      <c r="AR323" s="93">
        <v>0.218</v>
      </c>
      <c r="AS323" s="72" t="str">
        <f ca="1">[1]!thsiFinD("ths_the_sw_industry_stock",AP323,100,$A$1)</f>
        <v>国防军工</v>
      </c>
    </row>
    <row r="324" spans="41:45">
      <c r="AO324" s="92">
        <v>46104</v>
      </c>
      <c r="AP324" s="84" t="s">
        <v>1629</v>
      </c>
      <c r="AQ324" s="84" t="s">
        <v>1630</v>
      </c>
      <c r="AR324" s="93">
        <v>0.14399999999999999</v>
      </c>
      <c r="AS324" s="72" t="str">
        <f ca="1">[1]!thsiFinD("ths_the_sw_industry_stock",AP324,100,$A$1)</f>
        <v>建筑材料</v>
      </c>
    </row>
    <row r="325" spans="41:45">
      <c r="AO325" s="92">
        <v>46104</v>
      </c>
      <c r="AP325" s="84" t="s">
        <v>1631</v>
      </c>
      <c r="AQ325" s="84" t="s">
        <v>1632</v>
      </c>
      <c r="AR325" s="93">
        <v>9.0999999999999998E-2</v>
      </c>
      <c r="AS325" s="72" t="str">
        <f ca="1">[1]!thsiFinD("ths_the_sw_industry_stock",AP325,100,$A$1)</f>
        <v>钢铁</v>
      </c>
    </row>
    <row r="326" spans="41:45">
      <c r="AO326" s="92">
        <v>46104</v>
      </c>
      <c r="AP326" s="84" t="s">
        <v>1633</v>
      </c>
      <c r="AQ326" s="84" t="s">
        <v>1634</v>
      </c>
      <c r="AR326" s="93">
        <v>0.105</v>
      </c>
      <c r="AS326" s="72" t="str">
        <f ca="1">[1]!thsiFinD("ths_the_sw_industry_stock",AP326,100,$A$1)</f>
        <v>非银金融</v>
      </c>
    </row>
    <row r="327" spans="41:45">
      <c r="AO327" s="92">
        <v>46104</v>
      </c>
      <c r="AP327" s="84" t="s">
        <v>1635</v>
      </c>
      <c r="AQ327" s="84" t="s">
        <v>1636</v>
      </c>
      <c r="AR327" s="93">
        <v>0.13400000000000001</v>
      </c>
      <c r="AS327" s="72" t="str">
        <f ca="1">[1]!thsiFinD("ths_the_sw_industry_stock",AP327,100,$A$1)</f>
        <v>建筑装饰</v>
      </c>
    </row>
    <row r="328" spans="41:45">
      <c r="AO328" s="92">
        <v>46104</v>
      </c>
      <c r="AP328" s="84" t="s">
        <v>1637</v>
      </c>
      <c r="AQ328" s="84" t="s">
        <v>1638</v>
      </c>
      <c r="AR328" s="93">
        <v>9.9000000000000005E-2</v>
      </c>
      <c r="AS328" s="72" t="str">
        <f ca="1">[1]!thsiFinD("ths_the_sw_industry_stock",AP328,100,$A$1)</f>
        <v>房地产</v>
      </c>
    </row>
    <row r="329" spans="41:45">
      <c r="AO329" s="92">
        <v>46104</v>
      </c>
      <c r="AP329" s="84" t="s">
        <v>1639</v>
      </c>
      <c r="AQ329" s="84" t="s">
        <v>1640</v>
      </c>
      <c r="AR329" s="93">
        <v>0.20799999999999999</v>
      </c>
      <c r="AS329" s="72" t="str">
        <f ca="1">[1]!thsiFinD("ths_the_sw_industry_stock",AP329,100,$A$1)</f>
        <v>国防军工</v>
      </c>
    </row>
    <row r="330" spans="41:45">
      <c r="AO330" s="92">
        <v>46104</v>
      </c>
      <c r="AP330" s="84" t="s">
        <v>1641</v>
      </c>
      <c r="AQ330" s="84" t="s">
        <v>1642</v>
      </c>
      <c r="AR330" s="93">
        <v>0.14599999999999999</v>
      </c>
      <c r="AS330" s="72" t="str">
        <f ca="1">[1]!thsiFinD("ths_the_sw_industry_stock",AP330,100,$A$1)</f>
        <v>公用事业</v>
      </c>
    </row>
    <row r="331" spans="41:45">
      <c r="AO331" s="92">
        <v>46104</v>
      </c>
      <c r="AP331" s="84" t="s">
        <v>1643</v>
      </c>
      <c r="AQ331" s="84" t="s">
        <v>1644</v>
      </c>
      <c r="AR331" s="93">
        <v>0.12</v>
      </c>
      <c r="AS331" s="72" t="str">
        <f ca="1">[1]!thsiFinD("ths_the_sw_industry_stock",AP331,100,$A$1)</f>
        <v>石油石化</v>
      </c>
    </row>
    <row r="332" spans="41:45">
      <c r="AO332" s="92">
        <v>46104</v>
      </c>
      <c r="AP332" s="84" t="s">
        <v>1645</v>
      </c>
      <c r="AQ332" s="84" t="s">
        <v>1646</v>
      </c>
      <c r="AR332" s="93">
        <v>0.20599999999999999</v>
      </c>
      <c r="AS332" s="72" t="str">
        <f ca="1">[1]!thsiFinD("ths_the_sw_industry_stock",AP332,100,$A$1)</f>
        <v>基础化工</v>
      </c>
    </row>
    <row r="333" spans="41:45">
      <c r="AO333" s="92">
        <v>46104</v>
      </c>
      <c r="AP333" s="84" t="s">
        <v>1647</v>
      </c>
      <c r="AQ333" s="84" t="s">
        <v>1648</v>
      </c>
      <c r="AR333" s="93">
        <v>0.625</v>
      </c>
      <c r="AS333" s="72" t="str">
        <f ca="1">[1]!thsiFinD("ths_the_sw_industry_stock",AP333,100,$A$1)</f>
        <v>国防军工</v>
      </c>
    </row>
    <row r="334" spans="41:45">
      <c r="AO334" s="92">
        <v>46104</v>
      </c>
      <c r="AP334" s="84" t="s">
        <v>203</v>
      </c>
      <c r="AQ334" s="84" t="s">
        <v>1649</v>
      </c>
      <c r="AR334" s="93">
        <v>0.249</v>
      </c>
      <c r="AS334" s="72" t="str">
        <f ca="1">[1]!thsiFinD("ths_the_sw_industry_stock",AP334,100,$A$1)</f>
        <v>电力设备</v>
      </c>
    </row>
    <row r="335" spans="41:45">
      <c r="AO335" s="92">
        <v>46104</v>
      </c>
      <c r="AP335" s="84" t="s">
        <v>1650</v>
      </c>
      <c r="AQ335" s="84" t="s">
        <v>1651</v>
      </c>
      <c r="AR335" s="93">
        <v>0.35399999999999998</v>
      </c>
      <c r="AS335" s="72" t="str">
        <f ca="1">[1]!thsiFinD("ths_the_sw_industry_stock",AP335,100,$A$1)</f>
        <v>电力设备</v>
      </c>
    </row>
    <row r="336" spans="41:45">
      <c r="AO336" s="92">
        <v>46104</v>
      </c>
      <c r="AP336" s="84" t="s">
        <v>1652</v>
      </c>
      <c r="AQ336" s="84" t="s">
        <v>1653</v>
      </c>
      <c r="AR336" s="93">
        <v>0.13700000000000001</v>
      </c>
      <c r="AS336" s="72" t="str">
        <f ca="1">[1]!thsiFinD("ths_the_sw_industry_stock",AP336,100,$A$1)</f>
        <v>非银金融</v>
      </c>
    </row>
    <row r="337" spans="41:45">
      <c r="AO337" s="92">
        <v>46104</v>
      </c>
      <c r="AP337" s="84" t="s">
        <v>1654</v>
      </c>
      <c r="AQ337" s="84" t="s">
        <v>1655</v>
      </c>
      <c r="AR337" s="93">
        <v>8.2000000000000003E-2</v>
      </c>
      <c r="AS337" s="72" t="str">
        <f ca="1">[1]!thsiFinD("ths_the_sw_industry_stock",AP337,100,$A$1)</f>
        <v>非银金融</v>
      </c>
    </row>
    <row r="338" spans="41:45">
      <c r="AO338" s="92">
        <v>46104</v>
      </c>
      <c r="AP338" s="84" t="s">
        <v>1656</v>
      </c>
      <c r="AQ338" s="84" t="s">
        <v>1657</v>
      </c>
      <c r="AR338" s="93">
        <v>0.16500000000000001</v>
      </c>
      <c r="AS338" s="72" t="str">
        <f ca="1">[1]!thsiFinD("ths_the_sw_industry_stock",AP338,100,$A$1)</f>
        <v>非银金融</v>
      </c>
    </row>
    <row r="339" spans="41:45">
      <c r="AO339" s="92">
        <v>46104</v>
      </c>
      <c r="AP339" s="84" t="s">
        <v>1658</v>
      </c>
      <c r="AQ339" s="84" t="s">
        <v>1659</v>
      </c>
      <c r="AR339" s="93">
        <v>4.2000000000000003E-2</v>
      </c>
      <c r="AS339" s="72" t="str">
        <f ca="1">[1]!thsiFinD("ths_the_sw_industry_stock",AP339,100,$A$1)</f>
        <v>非银金融</v>
      </c>
    </row>
    <row r="340" spans="41:45">
      <c r="AO340" s="92">
        <v>46104</v>
      </c>
      <c r="AP340" s="84" t="s">
        <v>1660</v>
      </c>
      <c r="AQ340" s="84" t="s">
        <v>1661</v>
      </c>
      <c r="AR340" s="93">
        <v>9.6000000000000002E-2</v>
      </c>
      <c r="AS340" s="72" t="str">
        <f ca="1">[1]!thsiFinD("ths_the_sw_industry_stock",AP340,100,$A$1)</f>
        <v>传媒</v>
      </c>
    </row>
    <row r="341" spans="41:45">
      <c r="AO341" s="92">
        <v>46104</v>
      </c>
      <c r="AP341" s="84" t="s">
        <v>1662</v>
      </c>
      <c r="AQ341" s="84" t="s">
        <v>1663</v>
      </c>
      <c r="AR341" s="93">
        <v>0.13500000000000001</v>
      </c>
      <c r="AS341" s="72" t="str">
        <f ca="1">[1]!thsiFinD("ths_the_sw_industry_stock",AP341,100,$A$1)</f>
        <v>国防军工</v>
      </c>
    </row>
    <row r="342" spans="41:45">
      <c r="AO342" s="92">
        <v>46104</v>
      </c>
      <c r="AP342" s="84" t="s">
        <v>1664</v>
      </c>
      <c r="AQ342" s="84" t="s">
        <v>1665</v>
      </c>
      <c r="AR342" s="93">
        <v>8.5000000000000006E-2</v>
      </c>
      <c r="AS342" s="72" t="str">
        <f ca="1">[1]!thsiFinD("ths_the_sw_industry_stock",AP342,100,$A$1)</f>
        <v>石油石化</v>
      </c>
    </row>
    <row r="343" spans="41:45">
      <c r="AO343" s="92">
        <v>46104</v>
      </c>
      <c r="AP343" s="84" t="s">
        <v>1666</v>
      </c>
      <c r="AQ343" s="84" t="s">
        <v>1667</v>
      </c>
      <c r="AR343" s="93">
        <v>0.13300000000000001</v>
      </c>
      <c r="AS343" s="72" t="str">
        <f ca="1">[1]!thsiFinD("ths_the_sw_industry_stock",AP343,100,$A$1)</f>
        <v>建筑装饰</v>
      </c>
    </row>
    <row r="344" spans="41:45">
      <c r="AO344" s="92">
        <v>46104</v>
      </c>
      <c r="AP344" s="84" t="s">
        <v>1668</v>
      </c>
      <c r="AQ344" s="84" t="s">
        <v>1669</v>
      </c>
      <c r="AR344" s="93">
        <v>0.10199999999999999</v>
      </c>
      <c r="AS344" s="72" t="str">
        <f ca="1">[1]!thsiFinD("ths_the_sw_industry_stock",AP344,100,$A$1)</f>
        <v>传媒</v>
      </c>
    </row>
    <row r="345" spans="41:45">
      <c r="AO345" s="92">
        <v>46104</v>
      </c>
      <c r="AP345" s="84" t="s">
        <v>1670</v>
      </c>
      <c r="AQ345" s="84" t="s">
        <v>1671</v>
      </c>
      <c r="AR345" s="93">
        <v>0.13400000000000001</v>
      </c>
      <c r="AS345" s="72" t="str">
        <f ca="1">[1]!thsiFinD("ths_the_sw_industry_stock",AP345,100,$A$1)</f>
        <v>煤炭</v>
      </c>
    </row>
    <row r="346" spans="41:45">
      <c r="AO346" s="92">
        <v>46104</v>
      </c>
      <c r="AP346" s="84" t="s">
        <v>1672</v>
      </c>
      <c r="AQ346" s="84" t="s">
        <v>1673</v>
      </c>
      <c r="AR346" s="93">
        <v>0.60899999999999999</v>
      </c>
      <c r="AS346" s="72" t="str">
        <f ca="1">[1]!thsiFinD("ths_the_sw_industry_stock",AP346,100,$A$1)</f>
        <v>有色金属</v>
      </c>
    </row>
    <row r="347" spans="41:45">
      <c r="AO347" s="92">
        <v>46104</v>
      </c>
      <c r="AP347" s="84" t="s">
        <v>1674</v>
      </c>
      <c r="AQ347" s="84" t="s">
        <v>1675</v>
      </c>
      <c r="AR347" s="93">
        <v>0.13100000000000001</v>
      </c>
      <c r="AS347" s="72" t="str">
        <f ca="1">[1]!thsiFinD("ths_the_sw_industry_stock",AP347,100,$A$1)</f>
        <v>公用事业</v>
      </c>
    </row>
    <row r="348" spans="41:45">
      <c r="AO348" s="92">
        <v>46104</v>
      </c>
      <c r="AP348" s="84" t="s">
        <v>1676</v>
      </c>
      <c r="AQ348" s="84" t="s">
        <v>1677</v>
      </c>
      <c r="AR348" s="93">
        <v>0.122</v>
      </c>
      <c r="AS348" s="72" t="str">
        <f ca="1">[1]!thsiFinD("ths_the_sw_industry_stock",AP348,100,$A$1)</f>
        <v>医药生物</v>
      </c>
    </row>
    <row r="349" spans="41:45">
      <c r="AO349" s="92">
        <v>46104</v>
      </c>
      <c r="AP349" s="84" t="s">
        <v>1678</v>
      </c>
      <c r="AQ349" s="84" t="s">
        <v>1679</v>
      </c>
      <c r="AR349" s="93">
        <v>0.11799999999999999</v>
      </c>
      <c r="AS349" s="72" t="str">
        <f ca="1">[1]!thsiFinD("ths_the_sw_industry_stock",AP349,100,$A$1)</f>
        <v>交通运输</v>
      </c>
    </row>
    <row r="350" spans="41:45">
      <c r="AO350" s="92">
        <v>46104</v>
      </c>
      <c r="AP350" s="84" t="s">
        <v>204</v>
      </c>
      <c r="AQ350" s="84" t="s">
        <v>1680</v>
      </c>
      <c r="AR350" s="93">
        <v>0.13</v>
      </c>
      <c r="AS350" s="72" t="str">
        <f ca="1">[1]!thsiFinD("ths_the_sw_industry_stock",AP350,100,$A$1)</f>
        <v>煤炭</v>
      </c>
    </row>
    <row r="351" spans="41:45">
      <c r="AO351" s="92">
        <v>46104</v>
      </c>
      <c r="AP351" s="84" t="s">
        <v>1681</v>
      </c>
      <c r="AQ351" s="84" t="s">
        <v>1682</v>
      </c>
      <c r="AR351" s="93">
        <v>0.11700000000000001</v>
      </c>
      <c r="AS351" s="72" t="str">
        <f ca="1">[1]!thsiFinD("ths_the_sw_industry_stock",AP351,100,$A$1)</f>
        <v>公用事业</v>
      </c>
    </row>
    <row r="352" spans="41:45">
      <c r="AO352" s="92">
        <v>46104</v>
      </c>
      <c r="AP352" s="84" t="s">
        <v>1683</v>
      </c>
      <c r="AQ352" s="84" t="s">
        <v>1684</v>
      </c>
      <c r="AR352" s="93">
        <v>5.2999999999999999E-2</v>
      </c>
      <c r="AS352" s="72" t="str">
        <f ca="1">[1]!thsiFinD("ths_the_sw_industry_stock",AP352,100,$A$1)</f>
        <v>传媒</v>
      </c>
    </row>
    <row r="353" spans="41:45">
      <c r="AO353" s="92">
        <v>46104</v>
      </c>
      <c r="AP353" s="84" t="s">
        <v>1685</v>
      </c>
      <c r="AQ353" s="84" t="s">
        <v>1686</v>
      </c>
      <c r="AR353" s="93">
        <v>7.9000000000000001E-2</v>
      </c>
      <c r="AS353" s="72" t="str">
        <f ca="1">[1]!thsiFinD("ths_the_sw_industry_stock",AP353,100,$A$1)</f>
        <v>商贸零售</v>
      </c>
    </row>
    <row r="354" spans="41:45">
      <c r="AO354" s="92">
        <v>46104</v>
      </c>
      <c r="AP354" s="84" t="s">
        <v>1687</v>
      </c>
      <c r="AQ354" s="84" t="s">
        <v>1688</v>
      </c>
      <c r="AR354" s="93">
        <v>7.2999999999999995E-2</v>
      </c>
      <c r="AS354" s="72" t="str">
        <f ca="1">[1]!thsiFinD("ths_the_sw_industry_stock",AP354,100,$A$1)</f>
        <v>传媒</v>
      </c>
    </row>
    <row r="355" spans="41:45">
      <c r="AO355" s="92">
        <v>46104</v>
      </c>
      <c r="AP355" s="84" t="s">
        <v>1689</v>
      </c>
      <c r="AQ355" s="84" t="s">
        <v>1690</v>
      </c>
      <c r="AR355" s="93">
        <v>0.26100000000000001</v>
      </c>
      <c r="AS355" s="72" t="str">
        <f ca="1">[1]!thsiFinD("ths_the_sw_industry_stock",AP355,100,$A$1)</f>
        <v>非银金融</v>
      </c>
    </row>
    <row r="356" spans="41:45">
      <c r="AO356" s="92">
        <v>46104</v>
      </c>
      <c r="AP356" s="84" t="s">
        <v>1691</v>
      </c>
      <c r="AQ356" s="84" t="s">
        <v>1692</v>
      </c>
      <c r="AR356" s="93">
        <v>0.16200000000000001</v>
      </c>
      <c r="AS356" s="72" t="str">
        <f ca="1">[1]!thsiFinD("ths_the_sw_industry_stock",AP356,100,$A$1)</f>
        <v>机械设备</v>
      </c>
    </row>
    <row r="357" spans="41:45">
      <c r="AO357" s="92">
        <v>46104</v>
      </c>
      <c r="AP357" s="84" t="s">
        <v>1693</v>
      </c>
      <c r="AQ357" s="84" t="s">
        <v>1694</v>
      </c>
      <c r="AR357" s="93">
        <v>0.25900000000000001</v>
      </c>
      <c r="AS357" s="72" t="str">
        <f ca="1">[1]!thsiFinD("ths_the_sw_industry_stock",AP357,100,$A$1)</f>
        <v>非银金融</v>
      </c>
    </row>
    <row r="358" spans="41:45">
      <c r="AO358" s="92">
        <v>46104</v>
      </c>
      <c r="AP358" s="84" t="s">
        <v>1695</v>
      </c>
      <c r="AQ358" s="84" t="s">
        <v>1696</v>
      </c>
      <c r="AR358" s="93">
        <v>0.121</v>
      </c>
      <c r="AS358" s="72" t="str">
        <f ca="1">[1]!thsiFinD("ths_the_sw_industry_stock",AP358,100,$A$1)</f>
        <v>农林牧渔</v>
      </c>
    </row>
    <row r="359" spans="41:45">
      <c r="AO359" s="92">
        <v>46104</v>
      </c>
      <c r="AP359" s="84" t="s">
        <v>1697</v>
      </c>
      <c r="AQ359" s="84" t="s">
        <v>1698</v>
      </c>
      <c r="AR359" s="93">
        <v>0.219</v>
      </c>
      <c r="AS359" s="72" t="str">
        <f ca="1">[1]!thsiFinD("ths_the_sw_industry_stock",AP359,100,$A$1)</f>
        <v>银行</v>
      </c>
    </row>
    <row r="360" spans="41:45">
      <c r="AO360" s="92">
        <v>46104</v>
      </c>
      <c r="AP360" s="84" t="s">
        <v>1699</v>
      </c>
      <c r="AQ360" s="84" t="s">
        <v>1700</v>
      </c>
      <c r="AR360" s="93">
        <v>5.5E-2</v>
      </c>
      <c r="AS360" s="72" t="str">
        <f ca="1">[1]!thsiFinD("ths_the_sw_industry_stock",AP360,100,$A$1)</f>
        <v>公用事业</v>
      </c>
    </row>
    <row r="361" spans="41:45">
      <c r="AO361" s="92">
        <v>46104</v>
      </c>
      <c r="AP361" s="84" t="s">
        <v>1701</v>
      </c>
      <c r="AQ361" s="84" t="s">
        <v>1702</v>
      </c>
      <c r="AR361" s="93">
        <v>0.13800000000000001</v>
      </c>
      <c r="AS361" s="72" t="str">
        <f ca="1">[1]!thsiFinD("ths_the_sw_industry_stock",AP361,100,$A$1)</f>
        <v>房地产</v>
      </c>
    </row>
    <row r="362" spans="41:45">
      <c r="AO362" s="92">
        <v>46104</v>
      </c>
      <c r="AP362" s="84" t="s">
        <v>1703</v>
      </c>
      <c r="AQ362" s="84" t="s">
        <v>1704</v>
      </c>
      <c r="AR362" s="93">
        <v>0.111</v>
      </c>
      <c r="AS362" s="72" t="str">
        <f ca="1">[1]!thsiFinD("ths_the_sw_industry_stock",AP362,100,$A$1)</f>
        <v>交通运输</v>
      </c>
    </row>
    <row r="363" spans="41:45">
      <c r="AO363" s="92">
        <v>46104</v>
      </c>
      <c r="AP363" s="84" t="s">
        <v>1705</v>
      </c>
      <c r="AQ363" s="84" t="s">
        <v>1706</v>
      </c>
      <c r="AR363" s="93">
        <v>0.26500000000000001</v>
      </c>
      <c r="AS363" s="72" t="str">
        <f ca="1">[1]!thsiFinD("ths_the_sw_industry_stock",AP363,100,$A$1)</f>
        <v>非银金融</v>
      </c>
    </row>
    <row r="364" spans="41:45">
      <c r="AO364" s="92">
        <v>46104</v>
      </c>
      <c r="AP364" s="84" t="s">
        <v>1707</v>
      </c>
      <c r="AQ364" s="84" t="s">
        <v>1708</v>
      </c>
      <c r="AR364" s="93">
        <v>0.53</v>
      </c>
      <c r="AS364" s="72" t="str">
        <f ca="1">[1]!thsiFinD("ths_the_sw_industry_stock",AP364,100,$A$1)</f>
        <v>有色金属</v>
      </c>
    </row>
    <row r="365" spans="41:45">
      <c r="AO365" s="92">
        <v>46104</v>
      </c>
      <c r="AP365" s="84" t="s">
        <v>1709</v>
      </c>
      <c r="AQ365" s="84" t="s">
        <v>1710</v>
      </c>
      <c r="AR365" s="93">
        <v>0.378</v>
      </c>
      <c r="AS365" s="72" t="str">
        <f ca="1">[1]!thsiFinD("ths_the_sw_industry_stock",AP365,100,$A$1)</f>
        <v>电力设备</v>
      </c>
    </row>
    <row r="366" spans="41:45">
      <c r="AO366" s="92">
        <v>46104</v>
      </c>
      <c r="AP366" s="84" t="s">
        <v>1711</v>
      </c>
      <c r="AQ366" s="84" t="s">
        <v>1712</v>
      </c>
      <c r="AR366" s="93">
        <v>0.248</v>
      </c>
      <c r="AS366" s="72" t="str">
        <f ca="1">[1]!thsiFinD("ths_the_sw_industry_stock",AP366,100,$A$1)</f>
        <v>非银金融</v>
      </c>
    </row>
    <row r="367" spans="41:45">
      <c r="AO367" s="92">
        <v>46104</v>
      </c>
      <c r="AP367" s="84" t="s">
        <v>1713</v>
      </c>
      <c r="AQ367" s="84" t="s">
        <v>1714</v>
      </c>
      <c r="AR367" s="93">
        <v>0.29099999999999998</v>
      </c>
      <c r="AS367" s="72" t="str">
        <f ca="1">[1]!thsiFinD("ths_the_sw_industry_stock",AP367,100,$A$1)</f>
        <v>有色金属</v>
      </c>
    </row>
    <row r="368" spans="41:45">
      <c r="AO368" s="92">
        <v>46104</v>
      </c>
      <c r="AP368" s="84" t="s">
        <v>1715</v>
      </c>
      <c r="AQ368" s="84" t="s">
        <v>1716</v>
      </c>
      <c r="AR368" s="93">
        <v>0.186</v>
      </c>
      <c r="AS368" s="72" t="str">
        <f ca="1">[1]!thsiFinD("ths_the_sw_industry_stock",AP368,100,$A$1)</f>
        <v>基础化工</v>
      </c>
    </row>
    <row r="369" spans="41:45">
      <c r="AO369" s="92">
        <v>46104</v>
      </c>
      <c r="AP369" s="84" t="s">
        <v>1717</v>
      </c>
      <c r="AQ369" s="84" t="s">
        <v>1718</v>
      </c>
      <c r="AR369" s="93">
        <v>0.05</v>
      </c>
      <c r="AS369" s="72" t="str">
        <f ca="1">[1]!thsiFinD("ths_the_sw_industry_stock",AP369,100,$A$1)</f>
        <v>交通运输</v>
      </c>
    </row>
    <row r="370" spans="41:45">
      <c r="AO370" s="92">
        <v>46104</v>
      </c>
      <c r="AP370" s="84" t="s">
        <v>1719</v>
      </c>
      <c r="AQ370" s="84" t="s">
        <v>1720</v>
      </c>
      <c r="AR370" s="93">
        <v>0.313</v>
      </c>
      <c r="AS370" s="72" t="str">
        <f ca="1">[1]!thsiFinD("ths_the_sw_industry_stock",AP370,100,$A$1)</f>
        <v>电子</v>
      </c>
    </row>
    <row r="371" spans="41:45">
      <c r="AO371" s="92">
        <v>46104</v>
      </c>
      <c r="AP371" s="84" t="s">
        <v>1721</v>
      </c>
      <c r="AQ371" s="84" t="s">
        <v>1722</v>
      </c>
      <c r="AR371" s="93">
        <v>0.32200000000000001</v>
      </c>
      <c r="AS371" s="72" t="str">
        <f ca="1">[1]!thsiFinD("ths_the_sw_industry_stock",AP371,100,$A$1)</f>
        <v>石油石化</v>
      </c>
    </row>
    <row r="372" spans="41:45">
      <c r="AO372" s="92">
        <v>46104</v>
      </c>
      <c r="AP372" s="84" t="s">
        <v>1723</v>
      </c>
      <c r="AQ372" s="84" t="s">
        <v>1724</v>
      </c>
      <c r="AR372" s="93">
        <v>9.6000000000000002E-2</v>
      </c>
      <c r="AS372" s="72" t="str">
        <f ca="1">[1]!thsiFinD("ths_the_sw_industry_stock",AP372,100,$A$1)</f>
        <v>交通运输</v>
      </c>
    </row>
    <row r="373" spans="41:45">
      <c r="AO373" s="92">
        <v>46104</v>
      </c>
      <c r="AP373" s="84" t="s">
        <v>1725</v>
      </c>
      <c r="AQ373" s="84" t="s">
        <v>1726</v>
      </c>
      <c r="AR373" s="93">
        <v>0.13900000000000001</v>
      </c>
      <c r="AS373" s="72" t="str">
        <f ca="1">[1]!thsiFinD("ths_the_sw_industry_stock",AP373,100,$A$1)</f>
        <v>机械设备</v>
      </c>
    </row>
    <row r="374" spans="41:45">
      <c r="AO374" s="92">
        <v>46104</v>
      </c>
      <c r="AP374" s="84" t="s">
        <v>1727</v>
      </c>
      <c r="AQ374" s="84" t="s">
        <v>1728</v>
      </c>
      <c r="AR374" s="93">
        <v>0.33900000000000002</v>
      </c>
      <c r="AS374" s="72" t="str">
        <f ca="1">[1]!thsiFinD("ths_the_sw_industry_stock",AP374,100,$A$1)</f>
        <v>非银金融</v>
      </c>
    </row>
    <row r="375" spans="41:45">
      <c r="AO375" s="92">
        <v>46104</v>
      </c>
      <c r="AP375" s="84" t="s">
        <v>1729</v>
      </c>
      <c r="AQ375" s="84" t="s">
        <v>1730</v>
      </c>
      <c r="AR375" s="93">
        <v>0.17</v>
      </c>
      <c r="AS375" s="72" t="str">
        <f ca="1">[1]!thsiFinD("ths_the_sw_industry_stock",AP375,100,$A$1)</f>
        <v>电力设备</v>
      </c>
    </row>
    <row r="376" spans="41:45">
      <c r="AO376" s="92">
        <v>46104</v>
      </c>
      <c r="AP376" s="84" t="s">
        <v>1731</v>
      </c>
      <c r="AQ376" s="84" t="s">
        <v>1732</v>
      </c>
      <c r="AR376" s="93">
        <v>0.217</v>
      </c>
      <c r="AS376" s="72" t="str">
        <f ca="1">[1]!thsiFinD("ths_the_sw_industry_stock",AP376,100,$A$1)</f>
        <v>银行</v>
      </c>
    </row>
    <row r="377" spans="41:45">
      <c r="AO377" s="92">
        <v>46104</v>
      </c>
      <c r="AP377" s="84" t="s">
        <v>1733</v>
      </c>
      <c r="AQ377" s="84" t="s">
        <v>1734</v>
      </c>
      <c r="AR377" s="93">
        <v>8.5000000000000006E-2</v>
      </c>
      <c r="AS377" s="72" t="str">
        <f ca="1">[1]!thsiFinD("ths_the_sw_industry_stock",AP377,100,$A$1)</f>
        <v>交通运输</v>
      </c>
    </row>
    <row r="378" spans="41:45">
      <c r="AO378" s="92">
        <v>46104</v>
      </c>
      <c r="AP378" s="84" t="s">
        <v>1735</v>
      </c>
      <c r="AQ378" s="84" t="s">
        <v>1736</v>
      </c>
      <c r="AR378" s="93">
        <v>0.13300000000000001</v>
      </c>
      <c r="AS378" s="72" t="str">
        <f ca="1">[1]!thsiFinD("ths_the_sw_industry_stock",AP378,100,$A$1)</f>
        <v>机械设备</v>
      </c>
    </row>
    <row r="379" spans="41:45">
      <c r="AO379" s="92">
        <v>46104</v>
      </c>
      <c r="AP379" s="84" t="s">
        <v>1737</v>
      </c>
      <c r="AQ379" s="84" t="s">
        <v>1738</v>
      </c>
      <c r="AR379" s="93">
        <v>0.18099999999999999</v>
      </c>
      <c r="AS379" s="72" t="str">
        <f ca="1">[1]!thsiFinD("ths_the_sw_industry_stock",AP379,100,$A$1)</f>
        <v>建筑装饰</v>
      </c>
    </row>
    <row r="380" spans="41:45">
      <c r="AO380" s="92">
        <v>46104</v>
      </c>
      <c r="AP380" s="84" t="s">
        <v>1739</v>
      </c>
      <c r="AQ380" s="84" t="s">
        <v>1740</v>
      </c>
      <c r="AR380" s="93">
        <v>0.38</v>
      </c>
      <c r="AS380" s="72" t="str">
        <f ca="1">[1]!thsiFinD("ths_the_sw_industry_stock",AP380,100,$A$1)</f>
        <v>电力设备</v>
      </c>
    </row>
    <row r="381" spans="41:45">
      <c r="AO381" s="92">
        <v>46104</v>
      </c>
      <c r="AP381" s="84" t="s">
        <v>1741</v>
      </c>
      <c r="AQ381" s="84" t="s">
        <v>1742</v>
      </c>
      <c r="AR381" s="93">
        <v>0.22500000000000001</v>
      </c>
      <c r="AS381" s="72" t="str">
        <f ca="1">[1]!thsiFinD("ths_the_sw_industry_stock",AP381,100,$A$1)</f>
        <v>银行</v>
      </c>
    </row>
    <row r="382" spans="41:45">
      <c r="AO382" s="92">
        <v>46104</v>
      </c>
      <c r="AP382" s="84" t="s">
        <v>1743</v>
      </c>
      <c r="AQ382" s="84" t="s">
        <v>1744</v>
      </c>
      <c r="AR382" s="93">
        <v>0.121</v>
      </c>
      <c r="AS382" s="72" t="str">
        <f ca="1">[1]!thsiFinD("ths_the_sw_industry_stock",AP382,100,$A$1)</f>
        <v>煤炭</v>
      </c>
    </row>
    <row r="383" spans="41:45">
      <c r="AO383" s="92">
        <v>46104</v>
      </c>
      <c r="AP383" s="84" t="s">
        <v>1745</v>
      </c>
      <c r="AQ383" s="84" t="s">
        <v>1746</v>
      </c>
      <c r="AR383" s="93">
        <v>0.219</v>
      </c>
      <c r="AS383" s="72" t="str">
        <f ca="1">[1]!thsiFinD("ths_the_sw_industry_stock",AP383,100,$A$1)</f>
        <v>非银金融</v>
      </c>
    </row>
    <row r="384" spans="41:45">
      <c r="AO384" s="92">
        <v>46104</v>
      </c>
      <c r="AP384" s="84" t="s">
        <v>1747</v>
      </c>
      <c r="AQ384" s="84" t="s">
        <v>1748</v>
      </c>
      <c r="AR384" s="93">
        <v>0.16300000000000001</v>
      </c>
      <c r="AS384" s="72" t="str">
        <f ca="1">[1]!thsiFinD("ths_the_sw_industry_stock",AP384,100,$A$1)</f>
        <v>煤炭</v>
      </c>
    </row>
    <row r="385" spans="41:45">
      <c r="AO385" s="92">
        <v>46104</v>
      </c>
      <c r="AP385" s="84" t="s">
        <v>1749</v>
      </c>
      <c r="AQ385" s="84" t="s">
        <v>1750</v>
      </c>
      <c r="AR385" s="93">
        <v>0.248</v>
      </c>
      <c r="AS385" s="72" t="str">
        <f ca="1">[1]!thsiFinD("ths_the_sw_industry_stock",AP385,100,$A$1)</f>
        <v>机械设备</v>
      </c>
    </row>
    <row r="386" spans="41:45">
      <c r="AO386" s="92">
        <v>46104</v>
      </c>
      <c r="AP386" s="84" t="s">
        <v>1751</v>
      </c>
      <c r="AQ386" s="84" t="s">
        <v>1752</v>
      </c>
      <c r="AR386" s="93">
        <v>0.2</v>
      </c>
      <c r="AS386" s="72" t="str">
        <f ca="1">[1]!thsiFinD("ths_the_sw_industry_stock",AP386,100,$A$1)</f>
        <v>汽车</v>
      </c>
    </row>
    <row r="387" spans="41:45">
      <c r="AO387" s="92">
        <v>46104</v>
      </c>
      <c r="AP387" s="84" t="s">
        <v>1753</v>
      </c>
      <c r="AQ387" s="84" t="s">
        <v>1754</v>
      </c>
      <c r="AR387" s="93">
        <v>0.11899999999999999</v>
      </c>
      <c r="AS387" s="72" t="str">
        <f ca="1">[1]!thsiFinD("ths_the_sw_industry_stock",AP387,100,$A$1)</f>
        <v>电力设备</v>
      </c>
    </row>
    <row r="388" spans="41:45">
      <c r="AO388" s="92">
        <v>46104</v>
      </c>
      <c r="AP388" s="84" t="s">
        <v>1755</v>
      </c>
      <c r="AQ388" s="84" t="s">
        <v>1756</v>
      </c>
      <c r="AR388" s="93">
        <v>0.104</v>
      </c>
      <c r="AS388" s="72" t="str">
        <f ca="1">[1]!thsiFinD("ths_the_sw_industry_stock",AP388,100,$A$1)</f>
        <v>交通运输</v>
      </c>
    </row>
    <row r="389" spans="41:45">
      <c r="AO389" s="92">
        <v>46104</v>
      </c>
      <c r="AP389" s="84" t="s">
        <v>1757</v>
      </c>
      <c r="AQ389" s="84" t="s">
        <v>1758</v>
      </c>
      <c r="AR389" s="93">
        <v>0.11700000000000001</v>
      </c>
      <c r="AS389" s="72" t="str">
        <f ca="1">[1]!thsiFinD("ths_the_sw_industry_stock",AP389,100,$A$1)</f>
        <v>交通运输</v>
      </c>
    </row>
    <row r="390" spans="41:45">
      <c r="AO390" s="92">
        <v>46104</v>
      </c>
      <c r="AP390" s="84" t="s">
        <v>1759</v>
      </c>
      <c r="AQ390" s="84" t="s">
        <v>1760</v>
      </c>
      <c r="AR390" s="93">
        <v>0.11</v>
      </c>
      <c r="AS390" s="72" t="str">
        <f ca="1">[1]!thsiFinD("ths_the_sw_industry_stock",AP390,100,$A$1)</f>
        <v>煤炭</v>
      </c>
    </row>
    <row r="391" spans="41:45">
      <c r="AO391" s="92">
        <v>46104</v>
      </c>
      <c r="AP391" s="84" t="s">
        <v>1761</v>
      </c>
      <c r="AQ391" s="84" t="s">
        <v>1762</v>
      </c>
      <c r="AR391" s="93">
        <v>3.3000000000000002E-2</v>
      </c>
      <c r="AS391" s="72" t="str">
        <f ca="1">[1]!thsiFinD("ths_the_sw_industry_stock",AP391,100,$A$1)</f>
        <v>传媒</v>
      </c>
    </row>
    <row r="392" spans="41:45">
      <c r="AO392" s="92">
        <v>46104</v>
      </c>
      <c r="AP392" s="84" t="s">
        <v>1763</v>
      </c>
      <c r="AQ392" s="84" t="s">
        <v>1764</v>
      </c>
      <c r="AR392" s="93">
        <v>7.0000000000000007E-2</v>
      </c>
      <c r="AS392" s="72" t="str">
        <f ca="1">[1]!thsiFinD("ths_the_sw_industry_stock",AP392,100,$A$1)</f>
        <v>传媒</v>
      </c>
    </row>
    <row r="393" spans="41:45">
      <c r="AO393" s="92">
        <v>46104</v>
      </c>
      <c r="AP393" s="84" t="s">
        <v>1765</v>
      </c>
      <c r="AQ393" s="84" t="s">
        <v>1766</v>
      </c>
      <c r="AR393" s="93">
        <v>0.218</v>
      </c>
      <c r="AS393" s="72" t="str">
        <f ca="1">[1]!thsiFinD("ths_the_sw_industry_stock",AP393,100,$A$1)</f>
        <v>有色金属</v>
      </c>
    </row>
    <row r="394" spans="41:45">
      <c r="AO394" s="92">
        <v>46104</v>
      </c>
      <c r="AP394" s="84" t="s">
        <v>1767</v>
      </c>
      <c r="AQ394" s="84" t="s">
        <v>1768</v>
      </c>
      <c r="AR394" s="93">
        <v>7.3999999999999996E-2</v>
      </c>
      <c r="AS394" s="72" t="str">
        <f ca="1">[1]!thsiFinD("ths_the_sw_industry_stock",AP394,100,$A$1)</f>
        <v>汽车</v>
      </c>
    </row>
    <row r="395" spans="41:45">
      <c r="AO395" s="92">
        <v>46104</v>
      </c>
      <c r="AP395" s="84" t="s">
        <v>1769</v>
      </c>
      <c r="AQ395" s="84" t="s">
        <v>1770</v>
      </c>
      <c r="AR395" s="93">
        <v>0.10299999999999999</v>
      </c>
      <c r="AS395" s="72" t="str">
        <f ca="1">[1]!thsiFinD("ths_the_sw_industry_stock",AP395,100,$A$1)</f>
        <v>汽车</v>
      </c>
    </row>
    <row r="396" spans="41:45">
      <c r="AO396" s="92">
        <v>46104</v>
      </c>
      <c r="AP396" s="84" t="s">
        <v>1771</v>
      </c>
      <c r="AQ396" s="84" t="s">
        <v>1772</v>
      </c>
      <c r="AR396" s="93">
        <v>0.159</v>
      </c>
      <c r="AS396" s="72" t="str">
        <f ca="1">[1]!thsiFinD("ths_the_sw_industry_stock",AP396,100,$A$1)</f>
        <v>非银金融</v>
      </c>
    </row>
    <row r="397" spans="41:45">
      <c r="AO397" s="92">
        <v>46104</v>
      </c>
      <c r="AP397" s="84" t="s">
        <v>1773</v>
      </c>
      <c r="AQ397" s="84" t="s">
        <v>1774</v>
      </c>
      <c r="AR397" s="93">
        <v>0.13600000000000001</v>
      </c>
      <c r="AS397" s="72" t="str">
        <f ca="1">[1]!thsiFinD("ths_the_sw_industry_stock",AP397,100,$A$1)</f>
        <v>公用事业</v>
      </c>
    </row>
    <row r="398" spans="41:45">
      <c r="AO398" s="92">
        <v>46104</v>
      </c>
      <c r="AP398" s="84" t="s">
        <v>1775</v>
      </c>
      <c r="AQ398" s="84" t="s">
        <v>1776</v>
      </c>
      <c r="AR398" s="93">
        <v>0.156</v>
      </c>
      <c r="AS398" s="72" t="str">
        <f ca="1">[1]!thsiFinD("ths_the_sw_industry_stock",AP398,100,$A$1)</f>
        <v>银行</v>
      </c>
    </row>
    <row r="399" spans="41:45">
      <c r="AO399" s="92">
        <v>46104</v>
      </c>
      <c r="AP399" s="84" t="s">
        <v>1777</v>
      </c>
      <c r="AQ399" s="84" t="s">
        <v>1778</v>
      </c>
      <c r="AR399" s="93">
        <v>0.11799999999999999</v>
      </c>
      <c r="AS399" s="72" t="str">
        <f ca="1">[1]!thsiFinD("ths_the_sw_industry_stock",AP399,100,$A$1)</f>
        <v>传媒</v>
      </c>
    </row>
    <row r="400" spans="41:45">
      <c r="AO400" s="92">
        <v>46104</v>
      </c>
      <c r="AP400" s="84" t="s">
        <v>1779</v>
      </c>
      <c r="AQ400" s="84" t="s">
        <v>205</v>
      </c>
      <c r="AR400" s="93">
        <v>4.3999999999999997E-2</v>
      </c>
      <c r="AS400" s="72" t="str">
        <f ca="1">[1]!thsiFinD("ths_the_sw_industry_stock",AP400,100,$A$1)</f>
        <v>汽车</v>
      </c>
    </row>
    <row r="401" spans="41:45">
      <c r="AO401" s="92">
        <v>46104</v>
      </c>
      <c r="AP401" s="84" t="s">
        <v>1780</v>
      </c>
      <c r="AQ401" s="84" t="s">
        <v>1781</v>
      </c>
      <c r="AR401" s="93">
        <v>0.16600000000000001</v>
      </c>
      <c r="AS401" s="72" t="str">
        <f ca="1">[1]!thsiFinD("ths_the_sw_industry_stock",AP401,100,$A$1)</f>
        <v>基础化工</v>
      </c>
    </row>
    <row r="402" spans="41:45">
      <c r="AO402" s="92">
        <v>46104</v>
      </c>
      <c r="AP402" s="84" t="s">
        <v>1782</v>
      </c>
      <c r="AQ402" s="84" t="s">
        <v>1783</v>
      </c>
      <c r="AR402" s="93">
        <v>0.217</v>
      </c>
      <c r="AS402" s="72" t="str">
        <f ca="1">[1]!thsiFinD("ths_the_sw_industry_stock",AP402,100,$A$1)</f>
        <v>医药生物</v>
      </c>
    </row>
    <row r="403" spans="41:45">
      <c r="AO403" s="92">
        <v>46104</v>
      </c>
      <c r="AP403" s="84" t="s">
        <v>1784</v>
      </c>
      <c r="AQ403" s="84" t="s">
        <v>1785</v>
      </c>
      <c r="AR403" s="93">
        <v>0.24199999999999999</v>
      </c>
      <c r="AS403" s="72" t="str">
        <f ca="1">[1]!thsiFinD("ths_the_sw_industry_stock",AP403,100,$A$1)</f>
        <v>汽车</v>
      </c>
    </row>
    <row r="404" spans="41:45">
      <c r="AO404" s="92">
        <v>46104</v>
      </c>
      <c r="AP404" s="84" t="s">
        <v>1786</v>
      </c>
      <c r="AQ404" s="84" t="s">
        <v>1787</v>
      </c>
      <c r="AR404" s="93">
        <v>0.14000000000000001</v>
      </c>
      <c r="AS404" s="72" t="str">
        <f ca="1">[1]!thsiFinD("ths_the_sw_industry_stock",AP404,100,$A$1)</f>
        <v>食品饮料</v>
      </c>
    </row>
    <row r="405" spans="41:45">
      <c r="AO405" s="92">
        <v>46104</v>
      </c>
      <c r="AP405" s="84" t="s">
        <v>1788</v>
      </c>
      <c r="AQ405" s="84" t="s">
        <v>1789</v>
      </c>
      <c r="AR405" s="93">
        <v>0.2</v>
      </c>
      <c r="AS405" s="72" t="str">
        <f ca="1">[1]!thsiFinD("ths_the_sw_industry_stock",AP405,100,$A$1)</f>
        <v>电子</v>
      </c>
    </row>
    <row r="406" spans="41:45">
      <c r="AO406" s="92">
        <v>46104</v>
      </c>
      <c r="AP406" s="84" t="s">
        <v>1790</v>
      </c>
      <c r="AQ406" s="84" t="s">
        <v>1791</v>
      </c>
      <c r="AR406" s="93">
        <v>0.27700000000000002</v>
      </c>
      <c r="AS406" s="72" t="str">
        <f ca="1">[1]!thsiFinD("ths_the_sw_industry_stock",AP406,100,$A$1)</f>
        <v>汽车</v>
      </c>
    </row>
    <row r="407" spans="41:45">
      <c r="AO407" s="92">
        <v>46104</v>
      </c>
      <c r="AP407" s="84" t="s">
        <v>1792</v>
      </c>
      <c r="AQ407" s="84" t="s">
        <v>1793</v>
      </c>
      <c r="AR407" s="93">
        <v>0.11899999999999999</v>
      </c>
      <c r="AS407" s="72" t="str">
        <f ca="1">[1]!thsiFinD("ths_the_sw_industry_stock",AP407,100,$A$1)</f>
        <v>基础化工</v>
      </c>
    </row>
    <row r="408" spans="41:45">
      <c r="AO408" s="92">
        <v>46104</v>
      </c>
      <c r="AP408" s="84" t="s">
        <v>1794</v>
      </c>
      <c r="AQ408" s="84" t="s">
        <v>1795</v>
      </c>
      <c r="AR408" s="93">
        <v>0.3</v>
      </c>
      <c r="AS408" s="72" t="str">
        <f ca="1">[1]!thsiFinD("ths_the_sw_industry_stock",AP408,100,$A$1)</f>
        <v>电子</v>
      </c>
    </row>
    <row r="409" spans="41:45">
      <c r="AO409" s="92">
        <v>46104</v>
      </c>
      <c r="AP409" s="84" t="s">
        <v>1796</v>
      </c>
      <c r="AQ409" s="84" t="s">
        <v>1797</v>
      </c>
      <c r="AR409" s="93">
        <v>8.2000000000000003E-2</v>
      </c>
      <c r="AS409" s="72" t="str">
        <f ca="1">[1]!thsiFinD("ths_the_sw_industry_stock",AP409,100,$A$1)</f>
        <v>医药生物</v>
      </c>
    </row>
    <row r="410" spans="41:45">
      <c r="AO410" s="92">
        <v>46104</v>
      </c>
      <c r="AP410" s="84" t="s">
        <v>1798</v>
      </c>
      <c r="AQ410" s="84" t="s">
        <v>1799</v>
      </c>
      <c r="AR410" s="93">
        <v>0.12</v>
      </c>
      <c r="AS410" s="72" t="str">
        <f ca="1">[1]!thsiFinD("ths_the_sw_industry_stock",AP410,100,$A$1)</f>
        <v>电子</v>
      </c>
    </row>
    <row r="411" spans="41:45">
      <c r="AO411" s="92">
        <v>46104</v>
      </c>
      <c r="AP411" s="84" t="s">
        <v>1800</v>
      </c>
      <c r="AQ411" s="84" t="s">
        <v>1801</v>
      </c>
      <c r="AR411" s="93">
        <v>0.14299999999999999</v>
      </c>
      <c r="AS411" s="72" t="str">
        <f ca="1">[1]!thsiFinD("ths_the_sw_industry_stock",AP411,100,$A$1)</f>
        <v>机械设备</v>
      </c>
    </row>
    <row r="412" spans="41:45">
      <c r="AO412" s="92">
        <v>46104</v>
      </c>
      <c r="AP412" s="84" t="s">
        <v>1802</v>
      </c>
      <c r="AQ412" s="84" t="s">
        <v>1803</v>
      </c>
      <c r="AR412" s="93">
        <v>0.13800000000000001</v>
      </c>
      <c r="AS412" s="72" t="str">
        <f ca="1">[1]!thsiFinD("ths_the_sw_industry_stock",AP412,100,$A$1)</f>
        <v>机械设备</v>
      </c>
    </row>
    <row r="413" spans="41:45">
      <c r="AO413" s="92">
        <v>46104</v>
      </c>
      <c r="AP413" s="84" t="s">
        <v>1804</v>
      </c>
      <c r="AQ413" s="84" t="s">
        <v>1805</v>
      </c>
      <c r="AR413" s="93">
        <v>0.10100000000000001</v>
      </c>
      <c r="AS413" s="72" t="str">
        <f ca="1">[1]!thsiFinD("ths_the_sw_industry_stock",AP413,100,$A$1)</f>
        <v>电子</v>
      </c>
    </row>
    <row r="414" spans="41:45">
      <c r="AO414" s="92">
        <v>46104</v>
      </c>
      <c r="AP414" s="84" t="s">
        <v>1806</v>
      </c>
      <c r="AQ414" s="84" t="s">
        <v>1807</v>
      </c>
      <c r="AR414" s="93">
        <v>0.18099999999999999</v>
      </c>
      <c r="AS414" s="72" t="str">
        <f ca="1">[1]!thsiFinD("ths_the_sw_industry_stock",AP414,100,$A$1)</f>
        <v>食品饮料</v>
      </c>
    </row>
    <row r="415" spans="41:45">
      <c r="AO415" s="92">
        <v>46104</v>
      </c>
      <c r="AP415" s="84" t="s">
        <v>1808</v>
      </c>
      <c r="AQ415" s="84" t="s">
        <v>1809</v>
      </c>
      <c r="AR415" s="93">
        <v>0.16400000000000001</v>
      </c>
      <c r="AS415" s="72" t="str">
        <f ca="1">[1]!thsiFinD("ths_the_sw_industry_stock",AP415,100,$A$1)</f>
        <v>基础化工</v>
      </c>
    </row>
    <row r="416" spans="41:45">
      <c r="AO416" s="92">
        <v>46104</v>
      </c>
      <c r="AP416" s="84" t="s">
        <v>1810</v>
      </c>
      <c r="AQ416" s="84" t="s">
        <v>1811</v>
      </c>
      <c r="AR416" s="93">
        <v>0.16600000000000001</v>
      </c>
      <c r="AS416" s="72" t="str">
        <f ca="1">[1]!thsiFinD("ths_the_sw_industry_stock",AP416,100,$A$1)</f>
        <v>传媒</v>
      </c>
    </row>
    <row r="417" spans="41:45">
      <c r="AO417" s="92">
        <v>46104</v>
      </c>
      <c r="AP417" s="84" t="s">
        <v>1812</v>
      </c>
      <c r="AQ417" s="84" t="s">
        <v>1813</v>
      </c>
      <c r="AR417" s="93">
        <v>0.14699999999999999</v>
      </c>
      <c r="AS417" s="72" t="str">
        <f ca="1">[1]!thsiFinD("ths_the_sw_industry_stock",AP417,100,$A$1)</f>
        <v>家用电器</v>
      </c>
    </row>
    <row r="418" spans="41:45">
      <c r="AO418" s="92">
        <v>46104</v>
      </c>
      <c r="AP418" s="84" t="s">
        <v>1814</v>
      </c>
      <c r="AQ418" s="84" t="s">
        <v>1815</v>
      </c>
      <c r="AR418" s="93">
        <v>7.0000000000000007E-2</v>
      </c>
      <c r="AS418" s="72" t="str">
        <f ca="1">[1]!thsiFinD("ths_the_sw_industry_stock",AP418,100,$A$1)</f>
        <v>汽车</v>
      </c>
    </row>
    <row r="419" spans="41:45">
      <c r="AO419" s="92">
        <v>46104</v>
      </c>
      <c r="AP419" s="84" t="s">
        <v>1816</v>
      </c>
      <c r="AQ419" s="84" t="s">
        <v>1817</v>
      </c>
      <c r="AR419" s="93">
        <v>8.4000000000000005E-2</v>
      </c>
      <c r="AS419" s="72" t="str">
        <f ca="1">[1]!thsiFinD("ths_the_sw_industry_stock",AP419,100,$A$1)</f>
        <v>交通运输</v>
      </c>
    </row>
    <row r="420" spans="41:45">
      <c r="AO420" s="92">
        <v>46104</v>
      </c>
      <c r="AP420" s="84" t="s">
        <v>1818</v>
      </c>
      <c r="AQ420" s="84" t="s">
        <v>1819</v>
      </c>
      <c r="AR420" s="93">
        <v>0.17599999999999999</v>
      </c>
      <c r="AS420" s="72" t="str">
        <f ca="1">[1]!thsiFinD("ths_the_sw_industry_stock",AP420,100,$A$1)</f>
        <v>环保</v>
      </c>
    </row>
    <row r="421" spans="41:45">
      <c r="AO421" s="92">
        <v>46104</v>
      </c>
      <c r="AP421" s="84" t="s">
        <v>206</v>
      </c>
      <c r="AQ421" s="84" t="s">
        <v>1820</v>
      </c>
      <c r="AR421" s="93">
        <v>0.108</v>
      </c>
      <c r="AS421" s="72" t="str">
        <f ca="1">[1]!thsiFinD("ths_the_sw_industry_stock",AP421,100,$A$1)</f>
        <v>食品饮料</v>
      </c>
    </row>
    <row r="422" spans="41:45">
      <c r="AO422" s="92">
        <v>46104</v>
      </c>
      <c r="AP422" s="84" t="s">
        <v>1821</v>
      </c>
      <c r="AQ422" s="84" t="s">
        <v>1822</v>
      </c>
      <c r="AR422" s="93">
        <v>0.215</v>
      </c>
      <c r="AS422" s="72" t="str">
        <f ca="1">[1]!thsiFinD("ths_the_sw_industry_stock",AP422,100,$A$1)</f>
        <v>汽车</v>
      </c>
    </row>
    <row r="423" spans="41:45">
      <c r="AO423" s="92">
        <v>46104</v>
      </c>
      <c r="AP423" s="84" t="s">
        <v>1823</v>
      </c>
      <c r="AQ423" s="84" t="s">
        <v>1824</v>
      </c>
      <c r="AR423" s="93">
        <v>0.155</v>
      </c>
      <c r="AS423" s="72" t="str">
        <f ca="1">[1]!thsiFinD("ths_the_sw_industry_stock",AP423,100,$A$1)</f>
        <v>美容护理</v>
      </c>
    </row>
    <row r="424" spans="41:45">
      <c r="AO424" s="92">
        <v>46104</v>
      </c>
      <c r="AP424" s="84" t="s">
        <v>1825</v>
      </c>
      <c r="AQ424" s="84" t="s">
        <v>1826</v>
      </c>
      <c r="AR424" s="93">
        <v>0.224</v>
      </c>
      <c r="AS424" s="72" t="str">
        <f ca="1">[1]!thsiFinD("ths_the_sw_industry_stock",AP424,100,$A$1)</f>
        <v>电力设备</v>
      </c>
    </row>
    <row r="425" spans="41:45">
      <c r="AO425" s="92">
        <v>46104</v>
      </c>
      <c r="AP425" s="84" t="s">
        <v>1827</v>
      </c>
      <c r="AQ425" s="84" t="s">
        <v>1828</v>
      </c>
      <c r="AR425" s="93">
        <v>0.13600000000000001</v>
      </c>
      <c r="AS425" s="72" t="str">
        <f ca="1">[1]!thsiFinD("ths_the_sw_industry_stock",AP425,100,$A$1)</f>
        <v>基础化工</v>
      </c>
    </row>
    <row r="426" spans="41:45">
      <c r="AO426" s="92">
        <v>46104</v>
      </c>
      <c r="AP426" s="84" t="s">
        <v>1829</v>
      </c>
      <c r="AQ426" s="84" t="s">
        <v>1830</v>
      </c>
      <c r="AR426" s="93">
        <v>5.7000000000000002E-2</v>
      </c>
      <c r="AS426" s="72" t="str">
        <f ca="1">[1]!thsiFinD("ths_the_sw_industry_stock",AP426,100,$A$1)</f>
        <v>医药生物</v>
      </c>
    </row>
    <row r="427" spans="41:45">
      <c r="AO427" s="92">
        <v>46104</v>
      </c>
      <c r="AP427" s="84" t="s">
        <v>1831</v>
      </c>
      <c r="AQ427" s="84" t="s">
        <v>1832</v>
      </c>
      <c r="AR427" s="93">
        <v>0.27900000000000003</v>
      </c>
      <c r="AS427" s="72" t="str">
        <f ca="1">[1]!thsiFinD("ths_the_sw_industry_stock",AP427,100,$A$1)</f>
        <v>电力设备</v>
      </c>
    </row>
    <row r="428" spans="41:45">
      <c r="AO428" s="92">
        <v>46104</v>
      </c>
      <c r="AP428" s="84" t="s">
        <v>1833</v>
      </c>
      <c r="AQ428" s="84" t="s">
        <v>1834</v>
      </c>
      <c r="AR428" s="93">
        <v>0.122</v>
      </c>
      <c r="AS428" s="72" t="str">
        <f ca="1">[1]!thsiFinD("ths_the_sw_industry_stock",AP428,100,$A$1)</f>
        <v>基础化工</v>
      </c>
    </row>
    <row r="429" spans="41:45">
      <c r="AO429" s="92">
        <v>46104</v>
      </c>
      <c r="AP429" s="84" t="s">
        <v>1835</v>
      </c>
      <c r="AQ429" s="84" t="s">
        <v>1836</v>
      </c>
      <c r="AR429" s="93">
        <v>0.159</v>
      </c>
      <c r="AS429" s="72" t="str">
        <f ca="1">[1]!thsiFinD("ths_the_sw_industry_stock",AP429,100,$A$1)</f>
        <v>机械设备</v>
      </c>
    </row>
    <row r="430" spans="41:45">
      <c r="AO430" s="92">
        <v>46104</v>
      </c>
      <c r="AP430" s="84" t="s">
        <v>1837</v>
      </c>
      <c r="AQ430" s="84" t="s">
        <v>1838</v>
      </c>
      <c r="AR430" s="93">
        <v>4.3999999999999997E-2</v>
      </c>
      <c r="AS430" s="72" t="str">
        <f ca="1">[1]!thsiFinD("ths_the_sw_industry_stock",AP430,100,$A$1)</f>
        <v>医药生物</v>
      </c>
    </row>
    <row r="431" spans="41:45">
      <c r="AO431" s="92">
        <v>46104</v>
      </c>
      <c r="AP431" s="84" t="s">
        <v>1839</v>
      </c>
      <c r="AQ431" s="84" t="s">
        <v>1840</v>
      </c>
      <c r="AR431" s="93">
        <v>0.13300000000000001</v>
      </c>
      <c r="AS431" s="72" t="str">
        <f ca="1">[1]!thsiFinD("ths_the_sw_industry_stock",AP431,100,$A$1)</f>
        <v>电力设备</v>
      </c>
    </row>
    <row r="432" spans="41:45">
      <c r="AO432" s="92">
        <v>46104</v>
      </c>
      <c r="AP432" s="84" t="s">
        <v>1841</v>
      </c>
      <c r="AQ432" s="84" t="s">
        <v>1842</v>
      </c>
      <c r="AR432" s="93">
        <v>0.14199999999999999</v>
      </c>
      <c r="AS432" s="72" t="str">
        <f ca="1">[1]!thsiFinD("ths_the_sw_industry_stock",AP432,100,$A$1)</f>
        <v>建筑材料</v>
      </c>
    </row>
    <row r="433" spans="41:45">
      <c r="AO433" s="92">
        <v>46104</v>
      </c>
      <c r="AP433" s="84" t="s">
        <v>1843</v>
      </c>
      <c r="AQ433" s="84" t="s">
        <v>1844</v>
      </c>
      <c r="AR433" s="93">
        <v>0.17799999999999999</v>
      </c>
      <c r="AS433" s="72" t="str">
        <f ca="1">[1]!thsiFinD("ths_the_sw_industry_stock",AP433,100,$A$1)</f>
        <v>汽车</v>
      </c>
    </row>
    <row r="434" spans="41:45">
      <c r="AO434" s="92">
        <v>46104</v>
      </c>
      <c r="AP434" s="84" t="s">
        <v>1845</v>
      </c>
      <c r="AQ434" s="84" t="s">
        <v>1846</v>
      </c>
      <c r="AR434" s="93">
        <v>7.4999999999999997E-2</v>
      </c>
      <c r="AS434" s="72" t="str">
        <f ca="1">[1]!thsiFinD("ths_the_sw_industry_stock",AP434,100,$A$1)</f>
        <v>汽车</v>
      </c>
    </row>
    <row r="435" spans="41:45">
      <c r="AO435" s="92">
        <v>46104</v>
      </c>
      <c r="AP435" s="84" t="s">
        <v>1847</v>
      </c>
      <c r="AQ435" s="84" t="s">
        <v>1848</v>
      </c>
      <c r="AR435" s="93">
        <v>0.17299999999999999</v>
      </c>
      <c r="AS435" s="72" t="str">
        <f ca="1">[1]!thsiFinD("ths_the_sw_industry_stock",AP435,100,$A$1)</f>
        <v>电力设备</v>
      </c>
    </row>
    <row r="436" spans="41:45">
      <c r="AO436" s="92">
        <v>46104</v>
      </c>
      <c r="AP436" s="84" t="s">
        <v>1849</v>
      </c>
      <c r="AQ436" s="84" t="s">
        <v>1850</v>
      </c>
      <c r="AR436" s="93">
        <v>0.16200000000000001</v>
      </c>
      <c r="AS436" s="72" t="str">
        <f ca="1">[1]!thsiFinD("ths_the_sw_industry_stock",AP436,100,$A$1)</f>
        <v>轻工制造</v>
      </c>
    </row>
    <row r="437" spans="41:45">
      <c r="AO437" s="92">
        <v>46104</v>
      </c>
      <c r="AP437" s="84" t="s">
        <v>1851</v>
      </c>
      <c r="AQ437" s="84" t="s">
        <v>1852</v>
      </c>
      <c r="AR437" s="93">
        <v>9.6000000000000002E-2</v>
      </c>
      <c r="AS437" s="72" t="str">
        <f ca="1">[1]!thsiFinD("ths_the_sw_industry_stock",AP437,100,$A$1)</f>
        <v>轻工制造</v>
      </c>
    </row>
    <row r="438" spans="41:45">
      <c r="AO438" s="92">
        <v>46104</v>
      </c>
      <c r="AP438" s="84" t="s">
        <v>1853</v>
      </c>
      <c r="AQ438" s="84" t="s">
        <v>1854</v>
      </c>
      <c r="AR438" s="93">
        <v>8.3000000000000004E-2</v>
      </c>
      <c r="AS438" s="72" t="str">
        <f ca="1">[1]!thsiFinD("ths_the_sw_industry_stock",AP438,100,$A$1)</f>
        <v>医药生物</v>
      </c>
    </row>
    <row r="439" spans="41:45">
      <c r="AO439" s="92">
        <v>46104</v>
      </c>
      <c r="AP439" s="84" t="s">
        <v>1855</v>
      </c>
      <c r="AQ439" s="84" t="s">
        <v>1856</v>
      </c>
      <c r="AR439" s="93">
        <v>0.112</v>
      </c>
      <c r="AS439" s="72" t="str">
        <f ca="1">[1]!thsiFinD("ths_the_sw_industry_stock",AP439,100,$A$1)</f>
        <v>交通运输</v>
      </c>
    </row>
    <row r="440" spans="41:45">
      <c r="AO440" s="92">
        <v>46104</v>
      </c>
      <c r="AP440" s="84" t="s">
        <v>1857</v>
      </c>
      <c r="AQ440" s="84" t="s">
        <v>1858</v>
      </c>
      <c r="AR440" s="93">
        <v>9.1999999999999998E-2</v>
      </c>
      <c r="AS440" s="72" t="str">
        <f ca="1">[1]!thsiFinD("ths_the_sw_industry_stock",AP440,100,$A$1)</f>
        <v>轻工制造</v>
      </c>
    </row>
    <row r="441" spans="41:45">
      <c r="AO441" s="92">
        <v>46104</v>
      </c>
      <c r="AP441" s="84" t="s">
        <v>1859</v>
      </c>
      <c r="AQ441" s="84" t="s">
        <v>1860</v>
      </c>
      <c r="AR441" s="93">
        <v>0.26800000000000002</v>
      </c>
      <c r="AS441" s="72" t="str">
        <f ca="1">[1]!thsiFinD("ths_the_sw_industry_stock",AP441,100,$A$1)</f>
        <v>电子</v>
      </c>
    </row>
    <row r="442" spans="41:45">
      <c r="AO442" s="92">
        <v>46104</v>
      </c>
      <c r="AP442" s="84" t="s">
        <v>1861</v>
      </c>
      <c r="AQ442" s="84" t="s">
        <v>1862</v>
      </c>
      <c r="AR442" s="93">
        <v>0.10299999999999999</v>
      </c>
      <c r="AS442" s="72" t="str">
        <f ca="1">[1]!thsiFinD("ths_the_sw_industry_stock",AP442,100,$A$1)</f>
        <v>计算机</v>
      </c>
    </row>
    <row r="443" spans="41:45">
      <c r="AO443" s="92">
        <v>46104</v>
      </c>
      <c r="AP443" s="84" t="s">
        <v>1863</v>
      </c>
      <c r="AQ443" s="84" t="s">
        <v>1864</v>
      </c>
      <c r="AR443" s="93">
        <v>0.13500000000000001</v>
      </c>
      <c r="AS443" s="72" t="str">
        <f ca="1">[1]!thsiFinD("ths_the_sw_industry_stock",AP443,100,$A$1)</f>
        <v>医药生物</v>
      </c>
    </row>
    <row r="444" spans="41:45">
      <c r="AO444" s="92">
        <v>46104</v>
      </c>
      <c r="AP444" s="84" t="s">
        <v>1865</v>
      </c>
      <c r="AQ444" s="84" t="s">
        <v>1866</v>
      </c>
      <c r="AR444" s="93">
        <v>0.26600000000000001</v>
      </c>
      <c r="AS444" s="72" t="str">
        <f ca="1">[1]!thsiFinD("ths_the_sw_industry_stock",AP444,100,$A$1)</f>
        <v>有色金属</v>
      </c>
    </row>
    <row r="445" spans="41:45">
      <c r="AO445" s="92">
        <v>46104</v>
      </c>
      <c r="AP445" s="84" t="s">
        <v>1867</v>
      </c>
      <c r="AQ445" s="84" t="s">
        <v>1868</v>
      </c>
      <c r="AR445" s="93">
        <v>0.20599999999999999</v>
      </c>
      <c r="AS445" s="72" t="str">
        <f ca="1">[1]!thsiFinD("ths_the_sw_industry_stock",AP445,100,$A$1)</f>
        <v>电子</v>
      </c>
    </row>
    <row r="446" spans="41:45">
      <c r="AO446" s="92">
        <v>46104</v>
      </c>
      <c r="AP446" s="84" t="s">
        <v>1869</v>
      </c>
      <c r="AQ446" s="84" t="s">
        <v>1870</v>
      </c>
      <c r="AR446" s="93">
        <v>0.20899999999999999</v>
      </c>
      <c r="AS446" s="72" t="str">
        <f ca="1">[1]!thsiFinD("ths_the_sw_industry_stock",AP446,100,$A$1)</f>
        <v>基础化工</v>
      </c>
    </row>
    <row r="447" spans="41:45">
      <c r="AO447" s="92">
        <v>46104</v>
      </c>
      <c r="AP447" s="84" t="s">
        <v>1871</v>
      </c>
      <c r="AQ447" s="84" t="s">
        <v>1872</v>
      </c>
      <c r="AR447" s="93">
        <v>0.39500000000000002</v>
      </c>
      <c r="AS447" s="72" t="str">
        <f ca="1">[1]!thsiFinD("ths_the_sw_industry_stock",AP447,100,$A$1)</f>
        <v>国防军工</v>
      </c>
    </row>
    <row r="448" spans="41:45">
      <c r="AO448" s="92">
        <v>46104</v>
      </c>
      <c r="AP448" s="84" t="s">
        <v>1873</v>
      </c>
      <c r="AQ448" s="84" t="s">
        <v>1874</v>
      </c>
      <c r="AR448" s="93">
        <v>0.27400000000000002</v>
      </c>
      <c r="AS448" s="72" t="str">
        <f ca="1">[1]!thsiFinD("ths_the_sw_industry_stock",AP448,100,$A$1)</f>
        <v>机械设备</v>
      </c>
    </row>
    <row r="449" spans="41:45">
      <c r="AO449" s="92">
        <v>46104</v>
      </c>
      <c r="AP449" s="84" t="s">
        <v>1875</v>
      </c>
      <c r="AQ449" s="84" t="s">
        <v>1876</v>
      </c>
      <c r="AR449" s="93">
        <v>0.155</v>
      </c>
      <c r="AS449" s="72" t="str">
        <f ca="1">[1]!thsiFinD("ths_the_sw_industry_stock",AP449,100,$A$1)</f>
        <v>电子</v>
      </c>
    </row>
    <row r="450" spans="41:45">
      <c r="AO450" s="92">
        <v>46104</v>
      </c>
      <c r="AP450" s="84" t="s">
        <v>1877</v>
      </c>
      <c r="AQ450" s="84" t="s">
        <v>1878</v>
      </c>
      <c r="AR450" s="93">
        <v>0.29099999999999998</v>
      </c>
      <c r="AS450" s="72" t="str">
        <f ca="1">[1]!thsiFinD("ths_the_sw_industry_stock",AP450,100,$A$1)</f>
        <v>电子</v>
      </c>
    </row>
    <row r="451" spans="41:45">
      <c r="AO451" s="92">
        <v>46104</v>
      </c>
      <c r="AP451" s="84" t="s">
        <v>1879</v>
      </c>
      <c r="AQ451" s="84" t="s">
        <v>1880</v>
      </c>
      <c r="AR451" s="93">
        <v>0.38400000000000001</v>
      </c>
      <c r="AS451" s="72" t="str">
        <f ca="1">[1]!thsiFinD("ths_the_sw_industry_stock",AP451,100,$A$1)</f>
        <v>通信</v>
      </c>
    </row>
    <row r="452" spans="41:45">
      <c r="AO452" s="92">
        <v>46104</v>
      </c>
      <c r="AP452" s="84" t="s">
        <v>1881</v>
      </c>
      <c r="AQ452" s="84" t="s">
        <v>1882</v>
      </c>
      <c r="AR452" s="93">
        <v>0.32200000000000001</v>
      </c>
      <c r="AS452" s="72" t="str">
        <f ca="1">[1]!thsiFinD("ths_the_sw_industry_stock",AP452,100,$A$1)</f>
        <v>电子</v>
      </c>
    </row>
    <row r="453" spans="41:45">
      <c r="AO453" s="92">
        <v>46104</v>
      </c>
      <c r="AP453" s="84" t="s">
        <v>1883</v>
      </c>
      <c r="AQ453" s="84" t="s">
        <v>1884</v>
      </c>
      <c r="AR453" s="93">
        <v>0.17799999999999999</v>
      </c>
      <c r="AS453" s="72" t="str">
        <f ca="1">[1]!thsiFinD("ths_the_sw_industry_stock",AP453,100,$A$1)</f>
        <v>电子</v>
      </c>
    </row>
    <row r="454" spans="41:45">
      <c r="AO454" s="92">
        <v>46104</v>
      </c>
      <c r="AP454" s="84" t="s">
        <v>565</v>
      </c>
      <c r="AQ454" s="84" t="s">
        <v>566</v>
      </c>
      <c r="AR454" s="93">
        <v>0.18099999999999999</v>
      </c>
      <c r="AS454" s="72" t="str">
        <f ca="1">[1]!thsiFinD("ths_the_sw_industry_stock",AP454,100,$A$1)</f>
        <v>基础化工</v>
      </c>
    </row>
    <row r="455" spans="41:45">
      <c r="AO455" s="92">
        <v>46104</v>
      </c>
      <c r="AP455" s="84" t="s">
        <v>570</v>
      </c>
      <c r="AQ455" s="84" t="s">
        <v>571</v>
      </c>
      <c r="AR455" s="93">
        <v>0.29399999999999998</v>
      </c>
      <c r="AS455" s="72" t="str">
        <f ca="1">[1]!thsiFinD("ths_the_sw_industry_stock",AP455,100,$A$1)</f>
        <v>电子</v>
      </c>
    </row>
    <row r="456" spans="41:45">
      <c r="AO456" s="92">
        <v>46104</v>
      </c>
      <c r="AP456" s="84" t="s">
        <v>1885</v>
      </c>
      <c r="AQ456" s="84" t="s">
        <v>1886</v>
      </c>
      <c r="AR456" s="93">
        <v>5.8999999999999997E-2</v>
      </c>
      <c r="AS456" s="72" t="str">
        <f ca="1">[1]!thsiFinD("ths_the_sw_industry_stock",AP456,100,$A$1)</f>
        <v>通信</v>
      </c>
    </row>
    <row r="457" spans="41:45">
      <c r="AO457" s="92">
        <v>46104</v>
      </c>
      <c r="AP457" s="84" t="s">
        <v>574</v>
      </c>
      <c r="AQ457" s="84" t="s">
        <v>1887</v>
      </c>
      <c r="AR457" s="93">
        <v>0.14599999999999999</v>
      </c>
      <c r="AS457" s="72" t="str">
        <f ca="1">[1]!thsiFinD("ths_the_sw_industry_stock",AP457,100,$A$1)</f>
        <v>医药生物</v>
      </c>
    </row>
    <row r="458" spans="41:45">
      <c r="AO458" s="92">
        <v>46104</v>
      </c>
      <c r="AP458" s="84" t="s">
        <v>1888</v>
      </c>
      <c r="AQ458" s="84" t="s">
        <v>577</v>
      </c>
      <c r="AR458" s="93">
        <v>0.44</v>
      </c>
      <c r="AS458" s="72" t="str">
        <f ca="1">[1]!thsiFinD("ths_the_sw_industry_stock",AP458,100,$A$1)</f>
        <v>电子</v>
      </c>
    </row>
    <row r="459" spans="41:45">
      <c r="AO459" s="92">
        <v>46104</v>
      </c>
      <c r="AP459" s="84" t="s">
        <v>578</v>
      </c>
      <c r="AQ459" s="84" t="s">
        <v>579</v>
      </c>
      <c r="AR459" s="93">
        <v>0.377</v>
      </c>
      <c r="AS459" s="72" t="str">
        <f ca="1">[1]!thsiFinD("ths_the_sw_industry_stock",AP459,100,$A$1)</f>
        <v>国防军工</v>
      </c>
    </row>
    <row r="460" spans="41:45">
      <c r="AO460" s="92">
        <v>46104</v>
      </c>
      <c r="AP460" s="84" t="s">
        <v>1889</v>
      </c>
      <c r="AQ460" s="84" t="s">
        <v>1890</v>
      </c>
      <c r="AR460" s="93">
        <v>0.124</v>
      </c>
      <c r="AS460" s="72" t="str">
        <f ca="1">[1]!thsiFinD("ths_the_sw_industry_stock",AP460,100,$A$1)</f>
        <v>医药生物</v>
      </c>
    </row>
    <row r="461" spans="41:45">
      <c r="AO461" s="92">
        <v>46104</v>
      </c>
      <c r="AP461" s="84" t="s">
        <v>1891</v>
      </c>
      <c r="AQ461" s="84" t="s">
        <v>1892</v>
      </c>
      <c r="AR461" s="93">
        <v>0.114</v>
      </c>
      <c r="AS461" s="72" t="str">
        <f ca="1">[1]!thsiFinD("ths_the_sw_industry_stock",AP461,100,$A$1)</f>
        <v>电子</v>
      </c>
    </row>
    <row r="462" spans="41:45">
      <c r="AO462" s="92">
        <v>46104</v>
      </c>
      <c r="AP462" s="84" t="s">
        <v>1893</v>
      </c>
      <c r="AQ462" s="84" t="s">
        <v>1894</v>
      </c>
      <c r="AR462" s="93">
        <v>0.16700000000000001</v>
      </c>
      <c r="AS462" s="72" t="str">
        <f ca="1">[1]!thsiFinD("ths_the_sw_industry_stock",AP462,100,$A$1)</f>
        <v>医药生物</v>
      </c>
    </row>
    <row r="463" spans="41:45">
      <c r="AO463" s="92">
        <v>46104</v>
      </c>
      <c r="AP463" s="84" t="s">
        <v>1895</v>
      </c>
      <c r="AQ463" s="84" t="s">
        <v>1896</v>
      </c>
      <c r="AR463" s="93">
        <v>0.19700000000000001</v>
      </c>
      <c r="AS463" s="72" t="str">
        <f ca="1">[1]!thsiFinD("ths_the_sw_industry_stock",AP463,100,$A$1)</f>
        <v>电子</v>
      </c>
    </row>
    <row r="464" spans="41:45">
      <c r="AO464" s="92">
        <v>46104</v>
      </c>
      <c r="AP464" s="84" t="s">
        <v>586</v>
      </c>
      <c r="AQ464" s="84" t="s">
        <v>587</v>
      </c>
      <c r="AR464" s="93">
        <v>0.161</v>
      </c>
      <c r="AS464" s="72" t="str">
        <f ca="1">[1]!thsiFinD("ths_the_sw_industry_stock",AP464,100,$A$1)</f>
        <v>计算机</v>
      </c>
    </row>
    <row r="465" spans="41:45">
      <c r="AO465" s="92">
        <v>46104</v>
      </c>
      <c r="AP465" s="84" t="s">
        <v>1897</v>
      </c>
      <c r="AQ465" s="84" t="s">
        <v>1898</v>
      </c>
      <c r="AR465" s="93">
        <v>6.5000000000000002E-2</v>
      </c>
      <c r="AS465" s="72" t="str">
        <f ca="1">[1]!thsiFinD("ths_the_sw_industry_stock",AP465,100,$A$1)</f>
        <v>医药生物</v>
      </c>
    </row>
    <row r="466" spans="41:45">
      <c r="AO466" s="92">
        <v>46104</v>
      </c>
      <c r="AP466" s="84" t="s">
        <v>1899</v>
      </c>
      <c r="AQ466" s="84" t="s">
        <v>589</v>
      </c>
      <c r="AR466" s="93">
        <v>0.251</v>
      </c>
      <c r="AS466" s="72" t="str">
        <f ca="1">[1]!thsiFinD("ths_the_sw_industry_stock",AP466,100,$A$1)</f>
        <v>电子</v>
      </c>
    </row>
    <row r="467" spans="41:45">
      <c r="AO467" s="92">
        <v>46104</v>
      </c>
      <c r="AP467" s="84" t="s">
        <v>1900</v>
      </c>
      <c r="AQ467" s="84" t="s">
        <v>591</v>
      </c>
      <c r="AR467" s="93">
        <v>0.22500000000000001</v>
      </c>
      <c r="AS467" s="72" t="str">
        <f ca="1">[1]!thsiFinD("ths_the_sw_industry_stock",AP467,100,$A$1)</f>
        <v>电子</v>
      </c>
    </row>
    <row r="468" spans="41:45">
      <c r="AO468" s="92">
        <v>46104</v>
      </c>
      <c r="AP468" s="84" t="s">
        <v>1901</v>
      </c>
      <c r="AQ468" s="84" t="s">
        <v>594</v>
      </c>
      <c r="AR468" s="93">
        <v>0.184</v>
      </c>
      <c r="AS468" s="72" t="str">
        <f ca="1">[1]!thsiFinD("ths_the_sw_industry_stock",AP468,100,$A$1)</f>
        <v>电子</v>
      </c>
    </row>
    <row r="469" spans="41:45">
      <c r="AO469" s="92">
        <v>46104</v>
      </c>
      <c r="AP469" s="84" t="s">
        <v>1902</v>
      </c>
      <c r="AQ469" s="84" t="s">
        <v>1903</v>
      </c>
      <c r="AR469" s="93">
        <v>0.27200000000000002</v>
      </c>
      <c r="AS469" s="72" t="str">
        <f ca="1">[1]!thsiFinD("ths_the_sw_industry_stock",AP469,100,$A$1)</f>
        <v>医药生物</v>
      </c>
    </row>
    <row r="470" spans="41:45">
      <c r="AO470" s="92">
        <v>46104</v>
      </c>
      <c r="AP470" s="84" t="s">
        <v>1904</v>
      </c>
      <c r="AQ470" s="84" t="s">
        <v>1905</v>
      </c>
      <c r="AR470" s="93">
        <v>8.2000000000000003E-2</v>
      </c>
      <c r="AS470" s="72" t="str">
        <f ca="1">[1]!thsiFinD("ths_the_sw_industry_stock",AP470,100,$A$1)</f>
        <v>电力设备</v>
      </c>
    </row>
    <row r="471" spans="41:45">
      <c r="AO471" s="92">
        <v>46104</v>
      </c>
      <c r="AP471" s="84" t="s">
        <v>1906</v>
      </c>
      <c r="AQ471" s="84" t="s">
        <v>1907</v>
      </c>
      <c r="AR471" s="93">
        <v>0.14000000000000001</v>
      </c>
      <c r="AS471" s="72" t="str">
        <f ca="1">[1]!thsiFinD("ths_the_sw_industry_stock",AP471,100,$A$1)</f>
        <v>医药生物</v>
      </c>
    </row>
    <row r="472" spans="41:45">
      <c r="AO472" s="92">
        <v>46104</v>
      </c>
      <c r="AP472" s="84" t="s">
        <v>600</v>
      </c>
      <c r="AQ472" s="84" t="s">
        <v>601</v>
      </c>
      <c r="AR472" s="93">
        <v>0.113</v>
      </c>
      <c r="AS472" s="72" t="str">
        <f ca="1">[1]!thsiFinD("ths_the_sw_industry_stock",AP472,100,$A$1)</f>
        <v>医药生物</v>
      </c>
    </row>
    <row r="473" spans="41:45">
      <c r="AO473" s="92">
        <v>46104</v>
      </c>
      <c r="AP473" s="84" t="s">
        <v>1908</v>
      </c>
      <c r="AQ473" s="84" t="s">
        <v>1909</v>
      </c>
      <c r="AR473" s="93">
        <v>0.126</v>
      </c>
      <c r="AS473" s="72" t="str">
        <f ca="1">[1]!thsiFinD("ths_the_sw_industry_stock",AP473,100,$A$1)</f>
        <v>国防军工</v>
      </c>
    </row>
    <row r="474" spans="41:45">
      <c r="AO474" s="92">
        <v>46104</v>
      </c>
      <c r="AP474" s="84" t="s">
        <v>1910</v>
      </c>
      <c r="AQ474" s="84" t="s">
        <v>1911</v>
      </c>
      <c r="AR474" s="93">
        <v>5.2999999999999999E-2</v>
      </c>
      <c r="AS474" s="72" t="str">
        <f ca="1">[1]!thsiFinD("ths_the_sw_industry_stock",AP474,100,$A$1)</f>
        <v>基础化工</v>
      </c>
    </row>
    <row r="475" spans="41:45">
      <c r="AO475" s="92">
        <v>46104</v>
      </c>
      <c r="AP475" s="84" t="s">
        <v>602</v>
      </c>
      <c r="AQ475" s="84" t="s">
        <v>603</v>
      </c>
      <c r="AR475" s="93">
        <v>0.124</v>
      </c>
      <c r="AS475" s="72" t="str">
        <f ca="1">[1]!thsiFinD("ths_the_sw_industry_stock",AP475,100,$A$1)</f>
        <v>国防军工</v>
      </c>
    </row>
    <row r="476" spans="41:45">
      <c r="AO476" s="92">
        <v>46104</v>
      </c>
      <c r="AP476" s="84" t="s">
        <v>1912</v>
      </c>
      <c r="AQ476" s="84" t="s">
        <v>1913</v>
      </c>
      <c r="AR476" s="93">
        <v>0.14099999999999999</v>
      </c>
      <c r="AS476" s="72" t="str">
        <f ca="1">[1]!thsiFinD("ths_the_sw_industry_stock",AP476,100,$A$1)</f>
        <v>医药生物</v>
      </c>
    </row>
    <row r="477" spans="41:45">
      <c r="AO477" s="92">
        <v>46104</v>
      </c>
      <c r="AP477" s="84" t="s">
        <v>1914</v>
      </c>
      <c r="AQ477" s="84" t="s">
        <v>1915</v>
      </c>
      <c r="AR477" s="93">
        <v>0.09</v>
      </c>
      <c r="AS477" s="72" t="str">
        <f ca="1">[1]!thsiFinD("ths_the_sw_industry_stock",AP477,100,$A$1)</f>
        <v>计算机</v>
      </c>
    </row>
    <row r="478" spans="41:45">
      <c r="AO478" s="92">
        <v>46104</v>
      </c>
      <c r="AP478" s="84" t="s">
        <v>1916</v>
      </c>
      <c r="AQ478" s="84" t="s">
        <v>1917</v>
      </c>
      <c r="AR478" s="93">
        <v>0.16800000000000001</v>
      </c>
      <c r="AS478" s="72" t="str">
        <f ca="1">[1]!thsiFinD("ths_the_sw_industry_stock",AP478,100,$A$1)</f>
        <v>电子</v>
      </c>
    </row>
    <row r="479" spans="41:45">
      <c r="AO479" s="92">
        <v>46104</v>
      </c>
      <c r="AP479" s="84" t="s">
        <v>1918</v>
      </c>
      <c r="AQ479" s="84" t="s">
        <v>1919</v>
      </c>
      <c r="AR479" s="93">
        <v>6.7000000000000004E-2</v>
      </c>
      <c r="AS479" s="72" t="str">
        <f ca="1">[1]!thsiFinD("ths_the_sw_industry_stock",AP479,100,$A$1)</f>
        <v>医药生物</v>
      </c>
    </row>
    <row r="480" spans="41:45">
      <c r="AO480" s="92">
        <v>46104</v>
      </c>
      <c r="AP480" s="84" t="s">
        <v>1920</v>
      </c>
      <c r="AQ480" s="84" t="s">
        <v>1921</v>
      </c>
      <c r="AR480" s="93">
        <v>0.47399999999999998</v>
      </c>
      <c r="AS480" s="72" t="str">
        <f ca="1">[1]!thsiFinD("ths_the_sw_industry_stock",AP480,100,$A$1)</f>
        <v>电子</v>
      </c>
    </row>
    <row r="481" spans="41:45">
      <c r="AO481" s="92">
        <v>46104</v>
      </c>
      <c r="AP481" s="84" t="s">
        <v>605</v>
      </c>
      <c r="AQ481" s="84" t="s">
        <v>606</v>
      </c>
      <c r="AR481" s="93">
        <v>0.06</v>
      </c>
      <c r="AS481" s="72" t="str">
        <f ca="1">[1]!thsiFinD("ths_the_sw_industry_stock",AP481,100,$A$1)</f>
        <v>电力设备</v>
      </c>
    </row>
    <row r="482" spans="41:45">
      <c r="AO482" s="92">
        <v>46104</v>
      </c>
      <c r="AP482" s="84" t="s">
        <v>607</v>
      </c>
      <c r="AQ482" s="84" t="s">
        <v>1922</v>
      </c>
      <c r="AR482" s="93">
        <v>0.38</v>
      </c>
      <c r="AS482" s="72" t="str">
        <f ca="1">[1]!thsiFinD("ths_the_sw_industry_stock",AP482,100,$A$1)</f>
        <v>电子</v>
      </c>
    </row>
    <row r="483" spans="41:45">
      <c r="AO483" s="92">
        <v>46104</v>
      </c>
      <c r="AP483" s="84" t="s">
        <v>1923</v>
      </c>
      <c r="AQ483" s="84" t="s">
        <v>1924</v>
      </c>
      <c r="AR483" s="93">
        <v>8.4000000000000005E-2</v>
      </c>
      <c r="AS483" s="72" t="str">
        <f ca="1">[1]!thsiFinD("ths_the_sw_industry_stock",AP483,100,$A$1)</f>
        <v>美容护理</v>
      </c>
    </row>
    <row r="484" spans="41:45">
      <c r="AO484" s="92">
        <v>46104</v>
      </c>
      <c r="AP484" s="84" t="s">
        <v>608</v>
      </c>
      <c r="AQ484" s="84" t="s">
        <v>609</v>
      </c>
      <c r="AR484" s="93">
        <v>0.20200000000000001</v>
      </c>
      <c r="AS484" s="72" t="str">
        <f ca="1">[1]!thsiFinD("ths_the_sw_industry_stock",AP484,100,$A$1)</f>
        <v>国防军工</v>
      </c>
    </row>
    <row r="485" spans="41:45">
      <c r="AO485" s="92">
        <v>46104</v>
      </c>
      <c r="AP485" s="84" t="s">
        <v>1925</v>
      </c>
      <c r="AQ485" s="84" t="s">
        <v>1926</v>
      </c>
      <c r="AR485" s="93">
        <v>0.29599999999999999</v>
      </c>
      <c r="AS485" s="72" t="str">
        <f ca="1">[1]!thsiFinD("ths_the_sw_industry_stock",AP485,100,$A$1)</f>
        <v>电子</v>
      </c>
    </row>
    <row r="486" spans="41:45">
      <c r="AO486" s="92">
        <v>46104</v>
      </c>
      <c r="AP486" s="84" t="s">
        <v>1927</v>
      </c>
      <c r="AQ486" s="84" t="s">
        <v>1928</v>
      </c>
      <c r="AR486" s="93">
        <v>0.218</v>
      </c>
      <c r="AS486" s="72" t="str">
        <f ca="1">[1]!thsiFinD("ths_the_sw_industry_stock",AP486,100,$A$1)</f>
        <v>通信</v>
      </c>
    </row>
    <row r="487" spans="41:45">
      <c r="AO487" s="92">
        <v>46104</v>
      </c>
      <c r="AP487" s="84" t="s">
        <v>1929</v>
      </c>
      <c r="AQ487" s="84" t="s">
        <v>1930</v>
      </c>
      <c r="AR487" s="93">
        <v>0.08</v>
      </c>
      <c r="AS487" s="72" t="str">
        <f ca="1">[1]!thsiFinD("ths_the_sw_industry_stock",AP487,100,$A$1)</f>
        <v>机械设备</v>
      </c>
    </row>
    <row r="488" spans="41:45">
      <c r="AO488" s="92">
        <v>46104</v>
      </c>
      <c r="AP488" s="84" t="s">
        <v>1931</v>
      </c>
      <c r="AQ488" s="84" t="s">
        <v>1932</v>
      </c>
      <c r="AR488" s="93">
        <v>0.35899999999999999</v>
      </c>
      <c r="AS488" s="72" t="str">
        <f ca="1">[1]!thsiFinD("ths_the_sw_industry_stock",AP488,100,$A$1)</f>
        <v>电子</v>
      </c>
    </row>
    <row r="489" spans="41:45">
      <c r="AO489" s="92">
        <v>46104</v>
      </c>
      <c r="AP489" s="84" t="s">
        <v>1933</v>
      </c>
      <c r="AQ489" s="84" t="s">
        <v>1934</v>
      </c>
      <c r="AR489" s="93">
        <v>4.2999999999999997E-2</v>
      </c>
      <c r="AS489" s="72" t="str">
        <f ca="1">[1]!thsiFinD("ths_the_sw_industry_stock",AP489,100,$A$1)</f>
        <v>计算机</v>
      </c>
    </row>
    <row r="490" spans="41:45">
      <c r="AO490" s="92">
        <v>46104</v>
      </c>
      <c r="AP490" s="84" t="s">
        <v>1935</v>
      </c>
      <c r="AQ490" s="84" t="s">
        <v>1936</v>
      </c>
      <c r="AR490" s="93">
        <v>4.8000000000000001E-2</v>
      </c>
      <c r="AS490" s="72" t="str">
        <f ca="1">[1]!thsiFinD("ths_the_sw_industry_stock",AP490,100,$A$1)</f>
        <v>医药生物</v>
      </c>
    </row>
    <row r="491" spans="41:45">
      <c r="AO491" s="92">
        <v>46104</v>
      </c>
      <c r="AP491" s="84" t="s">
        <v>1937</v>
      </c>
      <c r="AQ491" s="84" t="s">
        <v>1938</v>
      </c>
      <c r="AR491" s="93">
        <v>0.497</v>
      </c>
      <c r="AS491" s="72" t="str">
        <f ca="1">[1]!thsiFinD("ths_the_sw_industry_stock",AP491,100,$A$1)</f>
        <v>电子</v>
      </c>
    </row>
    <row r="492" spans="41:45">
      <c r="AO492" s="92">
        <v>46104</v>
      </c>
      <c r="AP492" s="84" t="s">
        <v>618</v>
      </c>
      <c r="AQ492" s="84" t="s">
        <v>619</v>
      </c>
      <c r="AR492" s="93">
        <v>0.13200000000000001</v>
      </c>
      <c r="AS492" s="72" t="str">
        <f ca="1">[1]!thsiFinD("ths_the_sw_industry_stock",AP492,100,$A$1)</f>
        <v>电子</v>
      </c>
    </row>
    <row r="493" spans="41:45">
      <c r="AO493" s="92">
        <v>46104</v>
      </c>
      <c r="AP493" s="84" t="s">
        <v>1939</v>
      </c>
      <c r="AQ493" s="84" t="s">
        <v>1940</v>
      </c>
      <c r="AR493" s="93">
        <v>0.09</v>
      </c>
      <c r="AS493" s="72" t="str">
        <f ca="1">[1]!thsiFinD("ths_the_sw_industry_stock",AP493,100,$A$1)</f>
        <v>计算机</v>
      </c>
    </row>
    <row r="494" spans="41:45">
      <c r="AO494" s="92">
        <v>46104</v>
      </c>
      <c r="AP494" s="84" t="s">
        <v>1941</v>
      </c>
      <c r="AQ494" s="84" t="s">
        <v>1942</v>
      </c>
      <c r="AR494" s="93">
        <v>9.0999999999999998E-2</v>
      </c>
      <c r="AS494" s="72" t="str">
        <f ca="1">[1]!thsiFinD("ths_the_sw_industry_stock",AP494,100,$A$1)</f>
        <v>国防军工</v>
      </c>
    </row>
    <row r="495" spans="41:45">
      <c r="AO495" s="92">
        <v>46104</v>
      </c>
      <c r="AP495" s="84" t="s">
        <v>620</v>
      </c>
      <c r="AQ495" s="84" t="s">
        <v>621</v>
      </c>
      <c r="AR495" s="93">
        <v>0.251</v>
      </c>
      <c r="AS495" s="72" t="str">
        <f ca="1">[1]!thsiFinD("ths_the_sw_industry_stock",AP495,100,$A$1)</f>
        <v>计算机</v>
      </c>
    </row>
    <row r="496" spans="41:45">
      <c r="AO496" s="92">
        <v>46104</v>
      </c>
      <c r="AP496" s="84" t="s">
        <v>622</v>
      </c>
      <c r="AQ496" s="84" t="s">
        <v>623</v>
      </c>
      <c r="AR496" s="93">
        <v>0.23</v>
      </c>
      <c r="AS496" s="72" t="str">
        <f ca="1">[1]!thsiFinD("ths_the_sw_industry_stock",AP496,100,$A$1)</f>
        <v>医药生物</v>
      </c>
    </row>
    <row r="497" spans="41:45">
      <c r="AO497" s="92">
        <v>46104</v>
      </c>
      <c r="AP497" s="84" t="s">
        <v>1943</v>
      </c>
      <c r="AQ497" s="84" t="s">
        <v>1944</v>
      </c>
      <c r="AR497" s="93">
        <v>0.123</v>
      </c>
      <c r="AS497" s="72" t="str">
        <f ca="1">[1]!thsiFinD("ths_the_sw_industry_stock",AP497,100,$A$1)</f>
        <v>电子</v>
      </c>
    </row>
    <row r="498" spans="41:45">
      <c r="AO498" s="92">
        <v>46104</v>
      </c>
      <c r="AP498" s="84" t="s">
        <v>624</v>
      </c>
      <c r="AQ498" s="84" t="s">
        <v>625</v>
      </c>
      <c r="AR498" s="93">
        <v>0.246</v>
      </c>
      <c r="AS498" s="72" t="str">
        <f ca="1">[1]!thsiFinD("ths_the_sw_industry_stock",AP498,100,$A$1)</f>
        <v>电力设备</v>
      </c>
    </row>
    <row r="499" spans="41:45">
      <c r="AO499" s="92">
        <v>46104</v>
      </c>
      <c r="AP499" s="84" t="s">
        <v>626</v>
      </c>
      <c r="AQ499" s="84" t="s">
        <v>627</v>
      </c>
      <c r="AR499" s="93">
        <v>0.224</v>
      </c>
      <c r="AS499" s="72" t="str">
        <f ca="1">[1]!thsiFinD("ths_the_sw_industry_stock",AP499,100,$A$1)</f>
        <v>电子</v>
      </c>
    </row>
    <row r="500" spans="41:45">
      <c r="AO500" s="92">
        <v>46104</v>
      </c>
      <c r="AP500" s="84" t="s">
        <v>1945</v>
      </c>
      <c r="AQ500" s="84" t="s">
        <v>1946</v>
      </c>
      <c r="AR500" s="93">
        <v>0.14499999999999999</v>
      </c>
      <c r="AS500" s="72" t="str">
        <f ca="1">[1]!thsiFinD("ths_the_sw_industry_stock",AP500,100,$A$1)</f>
        <v>计算机</v>
      </c>
    </row>
    <row r="501" spans="41:45">
      <c r="AO501" s="92">
        <v>46104</v>
      </c>
      <c r="AP501" s="84" t="s">
        <v>628</v>
      </c>
      <c r="AQ501" s="84" t="s">
        <v>1947</v>
      </c>
      <c r="AR501" s="93">
        <v>0.191</v>
      </c>
      <c r="AS501" s="72" t="str">
        <f ca="1">[1]!thsiFinD("ths_the_sw_industry_stock",AP501,100,$A$1)</f>
        <v>医药生物</v>
      </c>
    </row>
    <row r="502" spans="41:45">
      <c r="AO502" s="92">
        <v>46104</v>
      </c>
      <c r="AP502" s="84" t="s">
        <v>1948</v>
      </c>
      <c r="AQ502" s="84" t="s">
        <v>1949</v>
      </c>
      <c r="AR502" s="93">
        <v>0.217</v>
      </c>
      <c r="AS502" s="72" t="str">
        <f ca="1">[1]!thsiFinD("ths_the_sw_industry_stock",AP502,100,$A$1)</f>
        <v>国防军工</v>
      </c>
    </row>
    <row r="503" spans="41:45">
      <c r="AO503" s="92">
        <v>46104</v>
      </c>
      <c r="AP503" s="84" t="s">
        <v>1950</v>
      </c>
      <c r="AQ503" s="84" t="s">
        <v>1951</v>
      </c>
      <c r="AR503" s="93">
        <v>0.255</v>
      </c>
      <c r="AS503" s="72" t="str">
        <f ca="1">[1]!thsiFinD("ths_the_sw_industry_stock",AP503,100,$A$1)</f>
        <v>电力设备</v>
      </c>
    </row>
    <row r="504" spans="41:45">
      <c r="AO504" s="92">
        <v>46104</v>
      </c>
      <c r="AP504" s="84" t="s">
        <v>1952</v>
      </c>
      <c r="AQ504" s="84" t="s">
        <v>1953</v>
      </c>
      <c r="AR504" s="93">
        <v>0.13300000000000001</v>
      </c>
      <c r="AS504" s="72" t="str">
        <f ca="1">[1]!thsiFinD("ths_the_sw_industry_stock",AP504,100,$A$1)</f>
        <v>计算机</v>
      </c>
    </row>
    <row r="505" spans="41:45">
      <c r="AO505" s="92">
        <v>46104</v>
      </c>
      <c r="AP505" s="84" t="s">
        <v>630</v>
      </c>
      <c r="AQ505" s="84" t="s">
        <v>631</v>
      </c>
      <c r="AR505" s="93">
        <v>0.222</v>
      </c>
      <c r="AS505" s="72" t="str">
        <f ca="1">[1]!thsiFinD("ths_the_sw_industry_stock",AP505,100,$A$1)</f>
        <v>电子</v>
      </c>
    </row>
    <row r="506" spans="41:45">
      <c r="AO506" s="92">
        <v>46104</v>
      </c>
      <c r="AP506" s="84" t="s">
        <v>1954</v>
      </c>
      <c r="AQ506" s="84" t="s">
        <v>1955</v>
      </c>
      <c r="AR506" s="93">
        <v>8.3000000000000004E-2</v>
      </c>
      <c r="AS506" s="72" t="str">
        <f ca="1">[1]!thsiFinD("ths_the_sw_industry_stock",AP506,100,$A$1)</f>
        <v>电子</v>
      </c>
    </row>
    <row r="507" spans="41:45">
      <c r="AO507" s="92">
        <v>46104</v>
      </c>
      <c r="AP507" s="84" t="s">
        <v>632</v>
      </c>
      <c r="AQ507" s="84" t="s">
        <v>633</v>
      </c>
      <c r="AR507" s="93">
        <v>0.121</v>
      </c>
      <c r="AS507" s="72" t="str">
        <f ca="1">[1]!thsiFinD("ths_the_sw_industry_stock",AP507,100,$A$1)</f>
        <v>电子</v>
      </c>
    </row>
    <row r="508" spans="41:45">
      <c r="AO508" s="92">
        <v>46104</v>
      </c>
      <c r="AP508" s="84" t="s">
        <v>1956</v>
      </c>
      <c r="AQ508" s="84" t="s">
        <v>1957</v>
      </c>
      <c r="AR508" s="93">
        <v>0.11700000000000001</v>
      </c>
      <c r="AS508" s="72" t="str">
        <f ca="1">[1]!thsiFinD("ths_the_sw_industry_stock",AP508,100,$A$1)</f>
        <v>电力设备</v>
      </c>
    </row>
    <row r="509" spans="41:45">
      <c r="AO509" s="92">
        <v>46104</v>
      </c>
      <c r="AP509" s="84" t="s">
        <v>634</v>
      </c>
      <c r="AQ509" s="84" t="s">
        <v>635</v>
      </c>
      <c r="AR509" s="93">
        <v>0.46600000000000003</v>
      </c>
      <c r="AS509" s="72" t="str">
        <f ca="1">[1]!thsiFinD("ths_the_sw_industry_stock",AP509,100,$A$1)</f>
        <v>机械设备</v>
      </c>
    </row>
    <row r="510" spans="41:45">
      <c r="AO510" s="92">
        <v>46104</v>
      </c>
      <c r="AP510" s="84" t="s">
        <v>1958</v>
      </c>
      <c r="AQ510" s="84" t="s">
        <v>1959</v>
      </c>
      <c r="AR510" s="93">
        <v>0.154</v>
      </c>
      <c r="AS510" s="72" t="str">
        <f ca="1">[1]!thsiFinD("ths_the_sw_industry_stock",AP510,100,$A$1)</f>
        <v>电力设备</v>
      </c>
    </row>
    <row r="511" spans="41:45">
      <c r="AO511" s="92">
        <v>46104</v>
      </c>
      <c r="AP511" s="84" t="s">
        <v>1960</v>
      </c>
      <c r="AQ511" s="84" t="s">
        <v>1961</v>
      </c>
      <c r="AR511" s="93">
        <v>4.2000000000000003E-2</v>
      </c>
      <c r="AS511" s="72" t="str">
        <f ca="1">[1]!thsiFinD("ths_the_sw_industry_stock",AP511,100,$A$1)</f>
        <v>电力设备</v>
      </c>
    </row>
    <row r="512" spans="41:45">
      <c r="AO512" s="92">
        <v>46104</v>
      </c>
      <c r="AP512" s="84" t="s">
        <v>638</v>
      </c>
      <c r="AQ512" s="84" t="s">
        <v>639</v>
      </c>
      <c r="AR512" s="93">
        <v>0.26800000000000002</v>
      </c>
      <c r="AS512" s="72" t="str">
        <f ca="1">[1]!thsiFinD("ths_the_sw_industry_stock",AP512,100,$A$1)</f>
        <v>汽车</v>
      </c>
    </row>
    <row r="513" spans="41:45">
      <c r="AO513" s="92">
        <v>46013</v>
      </c>
      <c r="AP513" s="84" t="s">
        <v>132</v>
      </c>
      <c r="AQ513" s="84" t="s">
        <v>133</v>
      </c>
      <c r="AR513" s="93">
        <v>0.05</v>
      </c>
      <c r="AS513" s="72" t="str">
        <f ca="1">[1]!thsiFinD("ths_the_sw_industry_stock",AP513,100,$A$1)</f>
        <v>电力设备</v>
      </c>
    </row>
    <row r="514" spans="41:45">
      <c r="AO514" s="92">
        <v>46013</v>
      </c>
      <c r="AP514" s="84" t="s">
        <v>135</v>
      </c>
      <c r="AQ514" s="84" t="s">
        <v>136</v>
      </c>
      <c r="AR514" s="93">
        <v>0.373</v>
      </c>
      <c r="AS514" s="72" t="str">
        <f ca="1">[1]!thsiFinD("ths_the_sw_industry_stock",AP514,100,$A$1)</f>
        <v>汽车</v>
      </c>
    </row>
  </sheetData>
  <autoFilter ref="I12:N12">
    <sortState ref="I13:N65">
      <sortCondition descending="1" ref="L12"/>
    </sortState>
  </autoFilter>
  <phoneticPr fontId="2" type="noConversion"/>
  <conditionalFormatting sqref="S15:S17 S13:U1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{13892E21-4708-41B5-9493-5DA54DC42074}</x14:id>
        </ext>
      </extLst>
    </cfRule>
  </conditionalFormatting>
  <conditionalFormatting sqref="S13:U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{0BB2D848-56BE-4B4B-A5AB-853AD5CC9B72}</x14:id>
        </ext>
      </extLst>
    </cfRule>
  </conditionalFormatting>
  <conditionalFormatting sqref="S15:U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{78287E3C-EA5F-4E2F-A95C-E823F2B2DD48}</x14:id>
        </ext>
      </extLst>
    </cfRule>
  </conditionalFormatting>
  <conditionalFormatting sqref="T13:T1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{8D08B49F-40A0-4ADA-9661-B2BFBBA76CB8}</x14:id>
        </ext>
      </extLst>
    </cfRule>
  </conditionalFormatting>
  <conditionalFormatting sqref="U13:U17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{32164E8E-132D-43FF-A6C1-A112A44EFAAC}</x14:id>
        </ext>
      </extLst>
    </cfRule>
  </conditionalFormatting>
  <conditionalFormatting sqref="S13:S17">
    <cfRule type="dataBar" priority="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{B0B6A4C9-6052-4567-8760-1CF85DDE46B7}</x14:id>
        </ext>
      </extLst>
    </cfRule>
  </conditionalFormatting>
  <conditionalFormatting sqref="U16:U1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{6E0EA07E-ED01-42D6-8869-94CE60EA41D3}</x14:id>
        </ext>
      </extLst>
    </cfRule>
  </conditionalFormatting>
  <conditionalFormatting sqref="U15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{1A10732F-D493-4EFB-8FCB-E1A65CF7859A}</x14:id>
        </ext>
      </extLst>
    </cfRule>
  </conditionalFormatting>
  <conditionalFormatting sqref="U17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{CF9C0AF8-8057-484B-9961-A8E4BD69FA1D}</x14:id>
        </ext>
      </extLst>
    </cfRule>
  </conditionalFormatting>
  <conditionalFormatting sqref="S16:S1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{3004B2FE-EB62-41E3-90BB-F6F5664B0345}</x14:id>
        </ext>
      </extLst>
    </cfRule>
  </conditionalFormatting>
  <conditionalFormatting sqref="S17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{DE00A0AD-F759-4967-A0B9-0231B7F3B2DB}</x14:id>
        </ext>
      </extLst>
    </cfRule>
  </conditionalFormatting>
  <conditionalFormatting sqref="U13:U14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{3BF2B343-CCC2-41DA-B319-95FF07E992B1}</x14:id>
        </ext>
      </extLst>
    </cfRule>
  </conditionalFormatting>
  <conditionalFormatting sqref="U16:U1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{B352C5C8-BF5A-425B-87CD-2EAAFFEC3C19}</x14:id>
        </ext>
      </extLst>
    </cfRule>
  </conditionalFormatting>
  <conditionalFormatting sqref="U16:U17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{9426898A-B809-4328-A088-B1FE25C7F033}</x14:id>
        </ext>
      </extLst>
    </cfRule>
  </conditionalFormatting>
  <pageMargins left="0.7" right="0.7" top="0.75" bottom="0.75" header="0.3" footer="0.3"/>
  <pageSetup paperSize="9" orientation="portrait" r:id="rId6"/>
  <drawing r:id="rId7"/>
  <tableParts count="1">
    <tablePart r:id="rId8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892E21-4708-41B5-9493-5DA54DC420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S15:S17 S13:U14</xm:sqref>
        </x14:conditionalFormatting>
        <x14:conditionalFormatting xmlns:xm="http://schemas.microsoft.com/office/excel/2006/main">
          <x14:cfRule type="dataBar" id="{0BB2D848-56BE-4B4B-A5AB-853AD5CC9B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S13:U17</xm:sqref>
        </x14:conditionalFormatting>
        <x14:conditionalFormatting xmlns:xm="http://schemas.microsoft.com/office/excel/2006/main">
          <x14:cfRule type="dataBar" id="{78287E3C-EA5F-4E2F-A95C-E823F2B2DD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S15:U17</xm:sqref>
        </x14:conditionalFormatting>
        <x14:conditionalFormatting xmlns:xm="http://schemas.microsoft.com/office/excel/2006/main">
          <x14:cfRule type="dataBar" id="{8D08B49F-40A0-4ADA-9661-B2BFBBA76C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T13:T17</xm:sqref>
        </x14:conditionalFormatting>
        <x14:conditionalFormatting xmlns:xm="http://schemas.microsoft.com/office/excel/2006/main">
          <x14:cfRule type="dataBar" id="{32164E8E-132D-43FF-A6C1-A112A44EFAA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U13:U17</xm:sqref>
        </x14:conditionalFormatting>
        <x14:conditionalFormatting xmlns:xm="http://schemas.microsoft.com/office/excel/2006/main">
          <x14:cfRule type="dataBar" id="{B0B6A4C9-6052-4567-8760-1CF85DDE46B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S13:S17</xm:sqref>
        </x14:conditionalFormatting>
        <x14:conditionalFormatting xmlns:xm="http://schemas.microsoft.com/office/excel/2006/main">
          <x14:cfRule type="dataBar" id="{6E0EA07E-ED01-42D6-8869-94CE60EA41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U16:U17</xm:sqref>
        </x14:conditionalFormatting>
        <x14:conditionalFormatting xmlns:xm="http://schemas.microsoft.com/office/excel/2006/main">
          <x14:cfRule type="dataBar" id="{1A10732F-D493-4EFB-8FCB-E1A65CF785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U15</xm:sqref>
        </x14:conditionalFormatting>
        <x14:conditionalFormatting xmlns:xm="http://schemas.microsoft.com/office/excel/2006/main">
          <x14:cfRule type="dataBar" id="{CF9C0AF8-8057-484B-9961-A8E4BD69FA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U17</xm:sqref>
        </x14:conditionalFormatting>
        <x14:conditionalFormatting xmlns:xm="http://schemas.microsoft.com/office/excel/2006/main">
          <x14:cfRule type="dataBar" id="{3004B2FE-EB62-41E3-90BB-F6F5664B03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S16:S17</xm:sqref>
        </x14:conditionalFormatting>
        <x14:conditionalFormatting xmlns:xm="http://schemas.microsoft.com/office/excel/2006/main">
          <x14:cfRule type="dataBar" id="{DE00A0AD-F759-4967-A0B9-0231B7F3B2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S17</xm:sqref>
        </x14:conditionalFormatting>
        <x14:conditionalFormatting xmlns:xm="http://schemas.microsoft.com/office/excel/2006/main">
          <x14:cfRule type="dataBar" id="{3BF2B343-CCC2-41DA-B319-95FF07E992B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U13:U14</xm:sqref>
        </x14:conditionalFormatting>
        <x14:conditionalFormatting xmlns:xm="http://schemas.microsoft.com/office/excel/2006/main">
          <x14:cfRule type="dataBar" id="{B352C5C8-BF5A-425B-87CD-2EAAFFEC3C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U16:U17</xm:sqref>
        </x14:conditionalFormatting>
        <x14:conditionalFormatting xmlns:xm="http://schemas.microsoft.com/office/excel/2006/main">
          <x14:cfRule type="dataBar" id="{9426898A-B809-4328-A088-B1FE25C7F03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U16:U17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9"/>
  <sheetViews>
    <sheetView workbookViewId="0">
      <selection activeCell="E13" sqref="E13"/>
    </sheetView>
  </sheetViews>
  <sheetFormatPr defaultRowHeight="13.5"/>
  <cols>
    <col min="2" max="2" width="11.875" customWidth="1"/>
    <col min="3" max="3" width="10.75" customWidth="1"/>
    <col min="4" max="4" width="10.375" customWidth="1"/>
    <col min="5" max="5" width="12.25" customWidth="1"/>
    <col min="6" max="6" width="10.875" customWidth="1"/>
  </cols>
  <sheetData>
    <row r="4" spans="2:6" ht="15">
      <c r="B4" s="110" t="s">
        <v>93</v>
      </c>
      <c r="C4" s="111" t="s">
        <v>94</v>
      </c>
      <c r="D4" s="111" t="s">
        <v>96</v>
      </c>
      <c r="E4" s="111" t="s">
        <v>129</v>
      </c>
      <c r="F4" s="112" t="s">
        <v>95</v>
      </c>
    </row>
    <row r="5" spans="2:6" ht="16.5">
      <c r="B5" s="113" t="s">
        <v>98</v>
      </c>
      <c r="C5" s="114" t="s">
        <v>99</v>
      </c>
      <c r="D5" s="115">
        <v>0.23</v>
      </c>
      <c r="E5" s="115">
        <v>0.34</v>
      </c>
      <c r="F5" s="116">
        <v>0.09</v>
      </c>
    </row>
    <row r="6" spans="2:6" ht="16.5">
      <c r="B6" s="113" t="s">
        <v>100</v>
      </c>
      <c r="C6" s="114" t="s">
        <v>101</v>
      </c>
      <c r="D6" s="115">
        <v>0.17</v>
      </c>
      <c r="E6" s="108">
        <v>0.33</v>
      </c>
      <c r="F6" s="116">
        <v>0.08</v>
      </c>
    </row>
    <row r="7" spans="2:6" ht="16.5">
      <c r="B7" s="113" t="s">
        <v>92</v>
      </c>
      <c r="C7" s="114" t="s">
        <v>102</v>
      </c>
      <c r="D7" s="115">
        <v>0</v>
      </c>
      <c r="E7" s="108">
        <v>0.05</v>
      </c>
      <c r="F7" s="116">
        <v>0</v>
      </c>
    </row>
    <row r="8" spans="2:6" ht="16.5">
      <c r="B8" s="113" t="s">
        <v>103</v>
      </c>
      <c r="C8" s="114" t="s">
        <v>104</v>
      </c>
      <c r="D8" s="115">
        <v>0.04</v>
      </c>
      <c r="E8" s="108">
        <v>0.09</v>
      </c>
      <c r="F8" s="116">
        <v>0.02</v>
      </c>
    </row>
    <row r="9" spans="2:6" ht="16.5">
      <c r="B9" s="117" t="s">
        <v>105</v>
      </c>
      <c r="C9" s="118" t="s">
        <v>106</v>
      </c>
      <c r="D9" s="119">
        <v>0</v>
      </c>
      <c r="E9" s="109">
        <v>0.09</v>
      </c>
      <c r="F9" s="120">
        <v>0</v>
      </c>
    </row>
  </sheetData>
  <phoneticPr fontId="2" type="noConversion"/>
  <conditionalFormatting sqref="D7:D9 D5:F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{6C3ADADF-DCD5-4895-B184-F7C411256AAC}</x14:id>
        </ext>
      </extLst>
    </cfRule>
  </conditionalFormatting>
  <conditionalFormatting sqref="D5:F9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{FAA97740-2F2A-4336-9F59-4EDE1297752D}</x14:id>
        </ext>
      </extLst>
    </cfRule>
  </conditionalFormatting>
  <conditionalFormatting sqref="D7:F9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{A00B68B5-5B9F-4244-B98B-38DA0F3DDB3C}</x14:id>
        </ext>
      </extLst>
    </cfRule>
  </conditionalFormatting>
  <conditionalFormatting sqref="E5: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{0E89D782-B304-46AB-99DC-4BD6D8D94269}</x14:id>
        </ext>
      </extLst>
    </cfRule>
  </conditionalFormatting>
  <conditionalFormatting sqref="F5:F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{625CCA9F-A210-4ABE-8B45-97D9EB59642B}</x14:id>
        </ext>
      </extLst>
    </cfRule>
  </conditionalFormatting>
  <conditionalFormatting sqref="D5:D9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{E8DF6859-01DA-4B8B-9731-80ABB8950FBD}</x14:id>
        </ext>
      </extLst>
    </cfRule>
  </conditionalFormatting>
  <conditionalFormatting sqref="F8:F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{1F6B858D-1117-41A7-9E56-75302E11F9A5}</x14:id>
        </ext>
      </extLst>
    </cfRule>
  </conditionalFormatting>
  <conditionalFormatting sqref="F7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{CC066C47-70AF-4FB6-82FF-8FFA964FDDA0}</x14:id>
        </ext>
      </extLst>
    </cfRule>
  </conditionalFormatting>
  <conditionalFormatting sqref="F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{C10E1DD7-AA94-46E0-9F97-47E1F5175733}</x14:id>
        </ext>
      </extLst>
    </cfRule>
  </conditionalFormatting>
  <conditionalFormatting sqref="D8:D9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{92F6597B-9284-4874-AED0-D1A046F27DA2}</x14:id>
        </ext>
      </extLst>
    </cfRule>
  </conditionalFormatting>
  <conditionalFormatting sqref="D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{77D7D504-409E-47AC-B44F-FFD1D0B6CE4E}</x14:id>
        </ext>
      </extLst>
    </cfRule>
  </conditionalFormatting>
  <conditionalFormatting sqref="F5:F6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{AB030549-B65A-4AD1-A5FF-BB9EA563AA23}</x14:id>
        </ext>
      </extLst>
    </cfRule>
  </conditionalFormatting>
  <conditionalFormatting sqref="F8:F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{2EBE962C-8B32-4B17-B5BE-B0458A8140D9}</x14:id>
        </ext>
      </extLst>
    </cfRule>
  </conditionalFormatting>
  <conditionalFormatting sqref="F8:F9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{962646C8-DB24-4840-8482-F9F9A9BF743F}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3ADADF-DCD5-4895-B184-F7C411256A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D7:D9 D5:F6</xm:sqref>
        </x14:conditionalFormatting>
        <x14:conditionalFormatting xmlns:xm="http://schemas.microsoft.com/office/excel/2006/main">
          <x14:cfRule type="dataBar" id="{FAA97740-2F2A-4336-9F59-4EDE129775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D5:F9</xm:sqref>
        </x14:conditionalFormatting>
        <x14:conditionalFormatting xmlns:xm="http://schemas.microsoft.com/office/excel/2006/main">
          <x14:cfRule type="dataBar" id="{A00B68B5-5B9F-4244-B98B-38DA0F3DDB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D7:F9</xm:sqref>
        </x14:conditionalFormatting>
        <x14:conditionalFormatting xmlns:xm="http://schemas.microsoft.com/office/excel/2006/main">
          <x14:cfRule type="dataBar" id="{0E89D782-B304-46AB-99DC-4BD6D8D942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E5:E9</xm:sqref>
        </x14:conditionalFormatting>
        <x14:conditionalFormatting xmlns:xm="http://schemas.microsoft.com/office/excel/2006/main">
          <x14:cfRule type="dataBar" id="{625CCA9F-A210-4ABE-8B45-97D9EB59642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F5:F9</xm:sqref>
        </x14:conditionalFormatting>
        <x14:conditionalFormatting xmlns:xm="http://schemas.microsoft.com/office/excel/2006/main">
          <x14:cfRule type="dataBar" id="{E8DF6859-01DA-4B8B-9731-80ABB8950FB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D5:D9</xm:sqref>
        </x14:conditionalFormatting>
        <x14:conditionalFormatting xmlns:xm="http://schemas.microsoft.com/office/excel/2006/main">
          <x14:cfRule type="dataBar" id="{1F6B858D-1117-41A7-9E56-75302E11F9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F8:F9</xm:sqref>
        </x14:conditionalFormatting>
        <x14:conditionalFormatting xmlns:xm="http://schemas.microsoft.com/office/excel/2006/main">
          <x14:cfRule type="dataBar" id="{CC066C47-70AF-4FB6-82FF-8FFA964FDD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F7</xm:sqref>
        </x14:conditionalFormatting>
        <x14:conditionalFormatting xmlns:xm="http://schemas.microsoft.com/office/excel/2006/main">
          <x14:cfRule type="dataBar" id="{C10E1DD7-AA94-46E0-9F97-47E1F51757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F9</xm:sqref>
        </x14:conditionalFormatting>
        <x14:conditionalFormatting xmlns:xm="http://schemas.microsoft.com/office/excel/2006/main">
          <x14:cfRule type="dataBar" id="{92F6597B-9284-4874-AED0-D1A046F27D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D8:D9</xm:sqref>
        </x14:conditionalFormatting>
        <x14:conditionalFormatting xmlns:xm="http://schemas.microsoft.com/office/excel/2006/main">
          <x14:cfRule type="dataBar" id="{77D7D504-409E-47AC-B44F-FFD1D0B6CE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D9</xm:sqref>
        </x14:conditionalFormatting>
        <x14:conditionalFormatting xmlns:xm="http://schemas.microsoft.com/office/excel/2006/main">
          <x14:cfRule type="dataBar" id="{AB030549-B65A-4AD1-A5FF-BB9EA563AA2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F5:F6</xm:sqref>
        </x14:conditionalFormatting>
        <x14:conditionalFormatting xmlns:xm="http://schemas.microsoft.com/office/excel/2006/main">
          <x14:cfRule type="dataBar" id="{2EBE962C-8B32-4B17-B5BE-B0458A8140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F8:F9</xm:sqref>
        </x14:conditionalFormatting>
        <x14:conditionalFormatting xmlns:xm="http://schemas.microsoft.com/office/excel/2006/main">
          <x14:cfRule type="dataBar" id="{962646C8-DB24-4840-8482-F9F9A9BF743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F8:F9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基本信息</vt:lpstr>
      <vt:lpstr>成份股</vt:lpstr>
      <vt:lpstr>行业</vt:lpstr>
      <vt:lpstr>四个第一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马静怡</dc:creator>
  <cp:lastModifiedBy>马静怡</cp:lastModifiedBy>
  <dcterms:created xsi:type="dcterms:W3CDTF">2023-01-04T09:01:59Z</dcterms:created>
  <dcterms:modified xsi:type="dcterms:W3CDTF">2026-03-23T02:42:37Z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c3338110</vt:lpwstr>
  </property>
</Properties>
</file>